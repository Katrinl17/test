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Вже створено" sheetId="2" state="visible" r:id="rId4"/>
    <sheet name="Summary" sheetId="3" state="visible" r:id="rId5"/>
    <sheet name="Видалено (код)" sheetId="4" state="visible" r:id="rId6"/>
  </sheets>
  <definedNames>
    <definedName function="false" hidden="true" localSheetId="0" name="_xlnm._FilterDatabase" vbProcedure="false">Tracker!$A$1:$J$37</definedName>
    <definedName function="false" hidden="true" localSheetId="3" name="_xlnm._FilterDatabase" vbProcedure="false">'Видалено (код)'!$A$1:$G$68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<sst xmlns="http://schemas.openxmlformats.org/spreadsheetml/2006/main" count="826" uniqueCount="521">
  <si>
    <t xml:space="preserve">#</t>
  </si>
  <si>
    <t xml:space="preserve">Категорія</t>
  </si>
  <si>
    <t xml:space="preserve">Назва елементу</t>
  </si>
  <si>
    <t xml:space="preserve">Про що цей елемент</t>
  </si>
  <si>
    <t xml:space="preserve">Чи є у файлі</t>
  </si>
  <si>
    <t xml:space="preserve">Чому частково готовий</t>
  </si>
  <si>
    <t xml:space="preserve">Де саме (Figma)</t>
  </si>
  <si>
    <t xml:space="preserve">Статус розробки</t>
  </si>
  <si>
    <t xml:space="preserve">Примітки</t>
  </si>
  <si>
    <t xml:space="preserve">Стани / варіанти (Figma)</t>
  </si>
  <si>
    <t xml:space="preserve">Пікери / Вибір</t>
  </si>
  <si>
    <t xml:space="preserve">SelectMultipleStringFromSetPicker</t>
  </si>
  <si>
    <t xml:space="preserve">Пікер для вибору кількох значень зі списку (напр. кілька танцювальних стилів).</t>
  </si>
  <si>
    <t xml:space="preserve">Частково</t>
  </si>
  <si>
    <t xml:space="preserve">Є Chips/Default для окремих тегів, але не зібрано як єдиний picker-компонент з вибором/зняттям вибору.</t>
  </si>
  <si>
    <t xml:space="preserve">06 — Selection and Pickers / Chips/Default</t>
  </si>
  <si>
    <t xml:space="preserve">В розробці</t>
  </si>
  <si>
    <t xml:space="preserve">Option: Unselected / Selected / Disabled · Список: Default / Max reached (ліміт) / Empty</t>
  </si>
  <si>
    <t xml:space="preserve">SelectSingleStringFromSetPicker</t>
  </si>
  <si>
    <t xml:space="preserve">Пікер для вибору одного значення зі списку.</t>
  </si>
  <si>
    <t xml:space="preserve">Є Radio Card/Option Card як будівельні блоки, немає зібраного picker-контейнера.</t>
  </si>
  <si>
    <t xml:space="preserve">06 — Selection and Pickers / Selection/Radio Card, Option Card</t>
  </si>
  <si>
    <t xml:space="preserve">Option: Unselected / Selected / Disabled · Список: Default / Empty</t>
  </si>
  <si>
    <t xml:space="preserve">ToggleButtonOneOfN</t>
  </si>
  <si>
    <t xml:space="preserve">Перемикач 'один з N' (сегментований вибір).</t>
  </si>
  <si>
    <t xml:space="preserve">Segmented Buttons реалізують цю ідею, але сам toggle-патерн з довільним N варіантів не перевірений окремо.</t>
  </si>
  <si>
    <t xml:space="preserve">07 — Navigation / Selection/Segmented Buttons</t>
  </si>
  <si>
    <t xml:space="preserve">Включає колишній #3.</t>
  </si>
  <si>
    <t xml:space="preserve">Segment: Unselected / Selected / Disabled · Кількість: 2 / 3 / 4 · З іконкою / без</t>
  </si>
  <si>
    <t xml:space="preserve">ToggleButtonWithIconAndMaybeLabel</t>
  </si>
  <si>
    <t xml:space="preserve">Toggle-кнопка з іконкою і опціональним текстом.</t>
  </si>
  <si>
    <t xml:space="preserve">Ні</t>
  </si>
  <si>
    <t xml:space="preserve">Не починали</t>
  </si>
  <si>
    <t xml:space="preserve">Включає колишні #12, #14, #15.</t>
  </si>
  <si>
    <t xml:space="preserve">Off / On / Pressed / Disabled · Content: Icon / Icon + Label</t>
  </si>
  <si>
    <t xml:space="preserve">Модальні вікна</t>
  </si>
  <si>
    <t xml:space="preserve">ModalGetCode</t>
  </si>
  <si>
    <t xml:space="preserve">Модалка для введення коду підтвердження (OTP).</t>
  </si>
  <si>
    <t xml:space="preserve">Комірки: Empty / Focused / Filled / Error · Resend: Countdown / Available · Verifying (loading)</t>
  </si>
  <si>
    <t xml:space="preserve">Текстові інпути</t>
  </si>
  <si>
    <t xml:space="preserve">TextInputWaitingValidatedMaybeSecureSingleLine</t>
  </si>
  <si>
    <t xml:space="preserve">Однорядкове поле з валідацією, станом завантаження і опційним приховуванням тексту (пароль).</t>
  </si>
  <si>
    <t xml:space="preserve">Input/Text Field має стани Default/Focused/Filled/Error, але немає варіанту 'secure' (пароль) чи 'waiting' (завантаження).</t>
  </si>
  <si>
    <t xml:space="preserve">05 — Inputs and Forms / Input/Text Field</t>
  </si>
  <si>
    <t xml:space="preserve">Включає колишні #23, #26, #27, #104, #109.</t>
  </si>
  <si>
    <t xml:space="preserve">Default / Focused / Filled / Error / Disabled / Waiting (спінер) · Secure: приховано / показано (іконка ока) · Single line / Multiline (+ лічильник символів) · Hint text / Error text</t>
  </si>
  <si>
    <t xml:space="preserve">TextInputForSearchWaitingClearable</t>
  </si>
  <si>
    <t xml:space="preserve">Поле пошуку з кнопкою очищення і станом завантаження.</t>
  </si>
  <si>
    <t xml:space="preserve">Empty / Focused / Typing (кнопка ✕) / Waiting (спінер) / Disabled</t>
  </si>
  <si>
    <t xml:space="preserve">TextInputForRichText</t>
  </si>
  <si>
    <t xml:space="preserve">Поле для форматованого (rich) тексту.</t>
  </si>
  <si>
    <t xml:space="preserve">Default / Focused / Filled / Disabled · Toolbar (B / I / Link): Off / On</t>
  </si>
  <si>
    <t xml:space="preserve">LabelledIntIncrementerWaiting</t>
  </si>
  <si>
    <t xml:space="preserve">Степпер (+/-) для цілих чисел з підписом.</t>
  </si>
  <si>
    <t xml:space="preserve">Default / Waiting / Disabled · «−» Disabled на мінімумі · «+» Disabled на максимумі</t>
  </si>
  <si>
    <t xml:space="preserve">Кнопки</t>
  </si>
  <si>
    <t xml:space="preserve">ButtonWaitingWhenDisabled</t>
  </si>
  <si>
    <t xml:space="preserve">Кнопка зі станом очікування (спінер) у вимкненому стані.</t>
  </si>
  <si>
    <t xml:space="preserve">Є Disabled, але немає окремого стану 'завантаження/очікування'.</t>
  </si>
  <si>
    <t xml:space="preserve">04 — Actions / Action/Button (є Disabled, немає Loading)</t>
  </si>
  <si>
    <t xml:space="preserve">Enabled / Pressed / Disabled / Loading · Type: Filled / Outlined / Text</t>
  </si>
  <si>
    <t xml:space="preserve">Лейаут / Контейнери</t>
  </si>
  <si>
    <t xml:space="preserve">LabelledOrUnlabelledBox</t>
  </si>
  <si>
    <t xml:space="preserve">Контейнер з опціональним заголовком.</t>
  </si>
  <si>
    <t xml:space="preserve">Є Surface і Input/Label окремо, але немає єдиного компонента 'бокс з підписом'.</t>
  </si>
  <si>
    <t xml:space="preserve">09 — Data Display / Surface + 05 Input/Label</t>
  </si>
  <si>
    <t xml:space="preserve">With label / Without label · Default / Error / Disabled</t>
  </si>
  <si>
    <t xml:space="preserve">FloatingControls</t>
  </si>
  <si>
    <t xml:space="preserve">Плаваючі елементи керування поверх контенту (напр. група FAB).</t>
  </si>
  <si>
    <t xml:space="preserve">Collapsed / Expanded</t>
  </si>
  <si>
    <t xml:space="preserve">SeparatorDot</t>
  </si>
  <si>
    <t xml:space="preserve">Маленька крапка-роздільник, напр. між пунктами метаданих.</t>
  </si>
  <si>
    <t xml:space="preserve">Один стан · Size: S / M</t>
  </si>
  <si>
    <t xml:space="preserve">Відображення контенту</t>
  </si>
  <si>
    <t xml:space="preserve">PostViewerInList</t>
  </si>
  <si>
    <t xml:space="preserve">Компактна версія посту для списку/стрічки.</t>
  </si>
  <si>
    <t xml:space="preserve">Feed-картки зроблені для кожного типу посту окремо (Event, Job, Merch...), єдиного узагальненого 'InList'-компонента немає.</t>
  </si>
  <si>
    <t xml:space="preserve">09 — Data Display / feed-картки</t>
  </si>
  <si>
    <t xml:space="preserve">Type (як у #46) · Default / Pressed · Text only / With media</t>
  </si>
  <si>
    <t xml:space="preserve">ContentCarousel</t>
  </si>
  <si>
    <t xml:space="preserve">Горизонтальна карусель контенту (фото, картки).</t>
  </si>
  <si>
    <t xml:space="preserve">Є лише індикатори-крапки (Carousel Indicators), самого свайп-контейнера немає.</t>
  </si>
  <si>
    <t xml:space="preserve">09 — Data Display / Carousel Indicators (тільки крапки)</t>
  </si>
  <si>
    <t xml:space="preserve">Один елемент / кілька · Indicator dot: Active / Inactive · Loading (skeleton)</t>
  </si>
  <si>
    <t xml:space="preserve">ImageWithModalViewer</t>
  </si>
  <si>
    <t xml:space="preserve">Фото, що відкривається на весь екран у модалці.</t>
  </si>
  <si>
    <t xml:space="preserve">Thumbnail / Fullscreen · Loading / Error</t>
  </si>
  <si>
    <t xml:space="preserve">Юзери</t>
  </si>
  <si>
    <t xml:space="preserve">UserViewerInList</t>
  </si>
  <si>
    <t xml:space="preserve">Рядок користувача у списку, напр. результати пошуку.</t>
  </si>
  <si>
    <t xml:space="preserve">Включає колишні #63, #64.</t>
  </si>
  <si>
    <t xml:space="preserve">Default / Pressed · Layout: Row / Horizontal card · Ім'я + нікнейм + місто (місто опційно) · Following / Not following · Verified / ні</t>
  </si>
  <si>
    <t xml:space="preserve">UserMinimalInfoShower</t>
  </si>
  <si>
    <t xml:space="preserve">Мінімальна інформація: аватар + ім'я.</t>
  </si>
  <si>
    <t xml:space="preserve">Post/User Header покриває схожий кейс для постів, окремого 'User'-компонента немає.</t>
  </si>
  <si>
    <t xml:space="preserve">09 — Data Display / Post/User Header</t>
  </si>
  <si>
    <t xml:space="preserve">Size: S / M / L · Avatar: Photo / Placeholder</t>
  </si>
  <si>
    <t xml:space="preserve">Легенди / Теги</t>
  </si>
  <si>
    <t xml:space="preserve">LegendColored</t>
  </si>
  <si>
    <t xml:space="preserve">Легенда з кольоровими мітками.</t>
  </si>
  <si>
    <t xml:space="preserve">Включає колишній #71.</t>
  </si>
  <si>
    <t xml:space="preserve">Item: Active / Inactive · З бейджем-лічильником / без</t>
  </si>
  <si>
    <t xml:space="preserve">LegendColorGradient</t>
  </si>
  <si>
    <t xml:space="preserve">Легенда з градієнтною шкалою.</t>
  </si>
  <si>
    <t xml:space="preserve">З підписами min / max</t>
  </si>
  <si>
    <t xml:space="preserve">LegendDanceAspectCount</t>
  </si>
  <si>
    <t xml:space="preserve">Лічильники по аспектах танцю: Energy, Musicality тощо.</t>
  </si>
  <si>
    <t xml:space="preserve">Іконки аспектів і Post/Dance Aspect Reaction є, зведеної 'легенди з лічильниками' немає.</t>
  </si>
  <si>
    <t xml:space="preserve">03 Icons / Icon/Custom/Dance Aspects + 09 Post/Dance Aspect Reaction</t>
  </si>
  <si>
    <t xml:space="preserve">Аспект (Energy / Musicality / …) · Count: 0 / &gt;0 · Selected (моя реакція)</t>
  </si>
  <si>
    <t xml:space="preserve">LabelledDancesShower</t>
  </si>
  <si>
    <t xml:space="preserve">Список танців з підписами.</t>
  </si>
  <si>
    <t xml:space="preserve">Post/Dance Style Tag показує один танець, зведеного 'списку' кількох немає.</t>
  </si>
  <si>
    <t xml:space="preserve">09 — Data Display / Post/Dance Style Tag</t>
  </si>
  <si>
    <t xml:space="preserve">1 танець / кілька / «+N» · With level / Without</t>
  </si>
  <si>
    <t xml:space="preserve">IconWithBubble</t>
  </si>
  <si>
    <t xml:space="preserve">Іконка з маленькою бульбашкою-індикатором.</t>
  </si>
  <si>
    <t xml:space="preserve">Включає колишній #81.</t>
  </si>
  <si>
    <t xml:space="preserve">Without bubble / Dot / Count (1–99 / 99+)</t>
  </si>
  <si>
    <t xml:space="preserve">Зображення / Медіа</t>
  </si>
  <si>
    <t xml:space="preserve">ProfileCoverAndMiniatureImageUploader</t>
  </si>
  <si>
    <t xml:space="preserve">Завантаження обкладинки і мініатюри профілю.</t>
  </si>
  <si>
    <t xml:space="preserve">Empty / Uploading (progress) / Uploaded / Error · Кнопка Edit</t>
  </si>
  <si>
    <t xml:space="preserve">Рейтинги</t>
  </si>
  <si>
    <t xml:space="preserve">RatingControls</t>
  </si>
  <si>
    <t xml:space="preserve">Базовий контрол для виставлення рейтингу (зірки).</t>
  </si>
  <si>
    <t xml:space="preserve">Включає колишні #87–#89 (Post / Event / User).</t>
  </si>
  <si>
    <t xml:space="preserve">Зірки 0–5: Empty / Half / Full · Interactive / Read-only / Disabled · Context: Post / Event / User</t>
  </si>
  <si>
    <t xml:space="preserve">RatingsShower</t>
  </si>
  <si>
    <t xml:space="preserve">Показ середнього рейтингу, напр. 4.8★.</t>
  </si>
  <si>
    <t xml:space="preserve">With rating (4.8★ + кількість) / No ratings yet · Size: S / M</t>
  </si>
  <si>
    <t xml:space="preserve">Пошук / Фільтри</t>
  </si>
  <si>
    <t xml:space="preserve">SearchCriteriaGenericDisplayAndClearButtons</t>
  </si>
  <si>
    <t xml:space="preserve">Показ активних фільтрів пошуку і кнопка очищення.</t>
  </si>
  <si>
    <t xml:space="preserve">Hidden (без фільтрів) / 1 фільтр / багато (scroll) · Chip з ✕ · Clear all</t>
  </si>
  <si>
    <t xml:space="preserve">Сповіщення</t>
  </si>
  <si>
    <t xml:space="preserve">NotificationForUserView</t>
  </si>
  <si>
    <t xml:space="preserve">Сповіщення про іншого користувача.</t>
  </si>
  <si>
    <t xml:space="preserve">Включає колишній #96.</t>
  </si>
  <si>
    <t xml:space="preserve">Type: User / City · Unread / Read · З кнопкою дії / без</t>
  </si>
  <si>
    <t xml:space="preserve">Лоадери / Стани</t>
  </si>
  <si>
    <t xml:space="preserve">LoadingFailedIndicator</t>
  </si>
  <si>
    <t xml:space="preserve">Індикатор помилки завантаження з можливістю повторити.</t>
  </si>
  <si>
    <t xml:space="preserve">Error + Retry / Retrying (loading)</t>
  </si>
  <si>
    <t xml:space="preserve">UnavailableContentPlaceholder</t>
  </si>
  <si>
    <t xml:space="preserve">Заглушка для недоступного контенту.</t>
  </si>
  <si>
    <t xml:space="preserve">Type: Deleted / No access / Not found · З кнопкою дії / без</t>
  </si>
  <si>
    <t xml:space="preserve">ModerationStatusBanner</t>
  </si>
  <si>
    <t xml:space="preserve">Банер зі статусом модерації контенту.</t>
  </si>
  <si>
    <t xml:space="preserve">Feedback/Status Banner є загальним, окремого кольору/тексту під 'moderation' немає.</t>
  </si>
  <si>
    <t xml:space="preserve">08 — Feedback and Status / Feedback/Status Banner</t>
  </si>
  <si>
    <t xml:space="preserve">Pending / Approved / Rejected / Needs changes</t>
  </si>
  <si>
    <t xml:space="preserve">BetaMarker</t>
  </si>
  <si>
    <t xml:space="preserve">Мітка 'Beta' на новій функції.</t>
  </si>
  <si>
    <t xml:space="preserve">Size: S / M</t>
  </si>
  <si>
    <t xml:space="preserve">Календар</t>
  </si>
  <si>
    <t xml:space="preserve">CalendarBasedEventShower</t>
  </si>
  <si>
    <t xml:space="preserve">Показ подій прямо в клітинках календаря.</t>
  </si>
  <si>
    <t xml:space="preserve">Calendar : Day має варіанти Event: One/Two/Three (крапки-індикатори), повноцінного 'shower' з деталями немає.</t>
  </si>
  <si>
    <t xml:space="preserve">14 — Calendar and Date / Calendar : Day (Event варіанти)</t>
  </si>
  <si>
    <t xml:space="preserve">Day: No events / 1 / 2 / 3+ · Today / Selected / Other month</t>
  </si>
  <si>
    <t xml:space="preserve">CalendarBasedTimeSelector</t>
  </si>
  <si>
    <t xml:space="preserve">Вибір часу через календарну сітку.</t>
  </si>
  <si>
    <t xml:space="preserve">Slot: Available / Selected / Unavailable</t>
  </si>
  <si>
    <t xml:space="preserve">DateSelector</t>
  </si>
  <si>
    <t xml:space="preserve">Вибір однієї дати.</t>
  </si>
  <si>
    <t xml:space="preserve">Calendar : Day і Month є як будівельні блоки, інтерактивного 'selector' у зборі немає.</t>
  </si>
  <si>
    <t xml:space="preserve">14 — Calendar and Date / Calendar : Day, Month</t>
  </si>
  <si>
    <t xml:space="preserve">Включає колишні #120, #121.</t>
  </si>
  <si>
    <t xml:space="preserve">View: Day / Month / Year · Day: Default / Today / Selected / Disabled / Other month · Single / Range</t>
  </si>
  <si>
    <t xml:space="preserve">External / RN core</t>
  </si>
  <si>
    <t xml:space="preserve">Slider</t>
  </si>
  <si>
    <t xml:space="preserve">Повзунок для вибору значення в діапазоні.</t>
  </si>
  <si>
    <t xml:space="preserve">Default / Dragging / Disabled · Single / Range · З підписом значення / без</t>
  </si>
  <si>
    <t xml:space="preserve">Dropdown</t>
  </si>
  <si>
    <t xml:space="preserve">Стандартний випадаючий список.</t>
  </si>
  <si>
    <t xml:space="preserve">Так</t>
  </si>
  <si>
    <t xml:space="preserve">05 — Inputs and Forms / Input/Dropdown Option</t>
  </si>
  <si>
    <t xml:space="preserve">Створено</t>
  </si>
  <si>
    <t xml:space="preserve">Включає колишній #30.</t>
  </si>
  <si>
    <t xml:space="preserve">Closed / Open · Поле: Default / Focused / Filled / Error / Disabled · Option: Default / Pressed / Selected · Використовується як кнопка-тригер пікера</t>
  </si>
  <si>
    <t xml:space="preserve">RadioButton</t>
  </si>
  <si>
    <t xml:space="preserve">Одиночний вибір (радіо-кнопка).</t>
  </si>
  <si>
    <t xml:space="preserve">06 — Selection and Pickers / Selection/Radio Button</t>
  </si>
  <si>
    <t xml:space="preserve">Unselected / Selected × Enabled / Pressed / Disabled</t>
  </si>
  <si>
    <t xml:space="preserve">ModalPadded</t>
  </si>
  <si>
    <t xml:space="preserve">Базове модальне вікно з відступами — обгортка для будь-якого контенту.</t>
  </si>
  <si>
    <t xml:space="preserve">13 — Modals and Overlays / Overlay/Modal Container</t>
  </si>
  <si>
    <t xml:space="preserve">Сюди ж модальні пікери (колишні #4, #5, #7).</t>
  </si>
  <si>
    <t xml:space="preserve">З заголовком / без · З кнопкою ✕ / без · Size: Default / Full height · Content = slot (сюди вставляються пікери)</t>
  </si>
  <si>
    <t xml:space="preserve">ModalAskOkOrNot</t>
  </si>
  <si>
    <t xml:space="preserve">Модалка з підтвердженням Так/Ні.</t>
  </si>
  <si>
    <t xml:space="preserve">13 — Modals and Overlays / Overlay/Confirmation Dialog</t>
  </si>
  <si>
    <t xml:space="preserve">Включає колишній #18.</t>
  </si>
  <si>
    <t xml:space="preserve">Default / Destructive (червона кнопка) / Loading (після ОК) · З полем причини / без</t>
  </si>
  <si>
    <t xml:space="preserve">ModalInfoOk</t>
  </si>
  <si>
    <t xml:space="preserve">Інформаційна модалка з однією кнопкою Ок.</t>
  </si>
  <si>
    <t xml:space="preserve">13 — Modals and Overlays / Overlay/Dialog (Template=Info)</t>
  </si>
  <si>
    <t xml:space="preserve">Type: Info / Success / Error</t>
  </si>
  <si>
    <t xml:space="preserve">ModalTwoWayDecision</t>
  </si>
  <si>
    <t xml:space="preserve">Модалка з двома рівнозначними варіантами дії.</t>
  </si>
  <si>
    <t xml:space="preserve">13 — Modals and Overlays / Overlay/Dialog (Template=TwoWay)</t>
  </si>
  <si>
    <t xml:space="preserve">Default / Loading (на вибраній кнопці)</t>
  </si>
  <si>
    <t xml:space="preserve">VoiceInputWaiting</t>
  </si>
  <si>
    <t xml:space="preserve">Голосове введення з індикацією прослуховування/обробки.</t>
  </si>
  <si>
    <t xml:space="preserve">05 — Inputs and Forms / Input/Voice</t>
  </si>
  <si>
    <t xml:space="preserve">Idle / Listening / Processing / Error</t>
  </si>
  <si>
    <t xml:space="preserve">PressableIcon</t>
  </si>
  <si>
    <t xml:space="preserve">Кнопка-іконка без тексту.</t>
  </si>
  <si>
    <t xml:space="preserve">04 — Actions / Action/Icon Button</t>
  </si>
  <si>
    <t xml:space="preserve">Включає колишній #33 (стан Loading).</t>
  </si>
  <si>
    <t xml:space="preserve">Enabled / Pressed / Disabled / Loading · Selected / Unselected (для toggle)</t>
  </si>
  <si>
    <t xml:space="preserve">ScreenDivider</t>
  </si>
  <si>
    <t xml:space="preserve">Горизонтальний роздільник екрану.</t>
  </si>
  <si>
    <t xml:space="preserve">09 — Data Display / Data Display/Divider</t>
  </si>
  <si>
    <t xml:space="preserve">Full width / Inset</t>
  </si>
  <si>
    <t xml:space="preserve">PostViewer</t>
  </si>
  <si>
    <t xml:space="preserve">Відображення посту будь-якого типу у стрічці.</t>
  </si>
  <si>
    <t xml:space="preserve">09 — Data Display / Post/* (Social, Job, Event, Listing, Article, Platform Announcement)</t>
  </si>
  <si>
    <t xml:space="preserve">Включає колишні #48, #49, #50.</t>
  </si>
  <si>
    <t xml:space="preserve">Type: Social / Job / Event / Listing / Article / Announcement · Text only / With media · Default / Liked / Saved · Own post (Edit / Delete) · Moderation: Pending / Approved / Rejected · Muted / Reported / Hidden</t>
  </si>
  <si>
    <t xml:space="preserve">PostMetaDataViewer</t>
  </si>
  <si>
    <t xml:space="preserve">Рядок метаданих посту: іконка + текст.</t>
  </si>
  <si>
    <t xml:space="preserve">09 — Data Display / Post/Metadata Row</t>
  </si>
  <si>
    <t xml:space="preserve">Type: Date / Time / Location / Price · Normal / Truncated</t>
  </si>
  <si>
    <t xml:space="preserve">EventViewer</t>
  </si>
  <si>
    <t xml:space="preserve">Повний перегляд події: картка + деталі.</t>
  </si>
  <si>
    <t xml:space="preserve">09 — Data Display / Post/Event — Feed, Festival, One-time</t>
  </si>
  <si>
    <t xml:space="preserve">Type: One-time / Festival · Status: Upcoming / Live / Sold out / Cancelled / Past</t>
  </si>
  <si>
    <t xml:space="preserve">EventViewerInList</t>
  </si>
  <si>
    <t xml:space="preserve">Картка події для стрічки.</t>
  </si>
  <si>
    <t xml:space="preserve">09 — Data Display / Post/Event — Feed set</t>
  </si>
  <si>
    <t xml:space="preserve">Type: One-time / Festival · Status: Upcoming / Live / Sold out / Cancelled / Past · Pressed</t>
  </si>
  <si>
    <t xml:space="preserve">LegendDanceLevels</t>
  </si>
  <si>
    <t xml:space="preserve">Легенда рівнів танцю: Beginner...Advanced.</t>
  </si>
  <si>
    <t xml:space="preserve">09 — Data Display / Data Display/Dance Level Indicator</t>
  </si>
  <si>
    <t xml:space="preserve">Level: Beginner / Intermediate / Advanced · Size: S / M</t>
  </si>
  <si>
    <t xml:space="preserve">Badge</t>
  </si>
  <si>
    <t xml:space="preserve">Базовий бейдж: крапка чи число.</t>
  </si>
  <si>
    <t xml:space="preserve">09 — Data Display / Data Display/Badge</t>
  </si>
  <si>
    <t xml:space="preserve">Dot / Number / 99+ · Color: Primary / Error</t>
  </si>
  <si>
    <t xml:space="preserve">LoadingIndicator</t>
  </si>
  <si>
    <t xml:space="preserve">Базовий індикатор завантаження (спінер).</t>
  </si>
  <si>
    <t xml:space="preserve">08 — Feedback and Status / Feedback/Activity Indicator</t>
  </si>
  <si>
    <t xml:space="preserve">Включає колишні #101, #136.</t>
  </si>
  <si>
    <t xml:space="preserve">Size: S / M / L · Color: Primary / On-primary</t>
  </si>
  <si>
    <t xml:space="preserve">Switch</t>
  </si>
  <si>
    <t xml:space="preserve">Перемикач Так/Ні (toggle switch).</t>
  </si>
  <si>
    <t xml:space="preserve">06 — Selection and Pickers / Selection/Switch</t>
  </si>
  <si>
    <t xml:space="preserve">Off / On × Enabled / Disabled</t>
  </si>
  <si>
    <t xml:space="preserve">DanceAway Design System — зведення</t>
  </si>
  <si>
    <t xml:space="preserve">Tracker — лише дизайн-компоненти, які ще треба зробити (Ні + Частково)</t>
  </si>
  <si>
    <t xml:space="preserve">Кількість</t>
  </si>
  <si>
    <t xml:space="preserve">Так (створено)</t>
  </si>
  <si>
    <t xml:space="preserve">Частково (є частини, не зібрано)</t>
  </si>
  <si>
    <t xml:space="preserve">Ні (не починали)</t>
  </si>
  <si>
    <t xml:space="preserve">N/A (не дизайн-елемент)</t>
  </si>
  <si>
    <t xml:space="preserve">Всього елементів у переліку</t>
  </si>
  <si>
    <t xml:space="preserve">Застосовних до дизайну (без N/A)</t>
  </si>
  <si>
    <t xml:space="preserve">Потрібно ще зробити (Ні + Частково)</t>
  </si>
  <si>
    <t xml:space="preserve">— з них повністю з нуля (Ні)</t>
  </si>
  <si>
    <t xml:space="preserve">— з них доробити (Частково)</t>
  </si>
  <si>
    <t xml:space="preserve">Видалено як кодові (не дизайн-система)</t>
  </si>
  <si>
    <t xml:space="preserve">Тип</t>
  </si>
  <si>
    <t xml:space="preserve">Чому видалено</t>
  </si>
  <si>
    <t xml:space="preserve">Куди перенесено</t>
  </si>
  <si>
    <t xml:space="preserve">SelectSingleStringFromSetWithButtons</t>
  </si>
  <si>
    <t xml:space="preserve">Вибір одного значення через ряд кнопок замість списку чи дропдауну.</t>
  </si>
  <si>
    <t xml:space="preserve">Дублікат</t>
  </si>
  <si>
    <t xml:space="preserve">Дублікат #11 ToggleButtonOneOfN — той самий Segmented Buttons.</t>
  </si>
  <si>
    <t xml:space="preserve">#11</t>
  </si>
  <si>
    <t xml:space="preserve">ModalSelectMultipleStringsFromSet</t>
  </si>
  <si>
    <t xml:space="preserve">Модальне вікно для вибору кількох значень зі списку.</t>
  </si>
  <si>
    <t xml:space="preserve">Композиція (збирається з інших)</t>
  </si>
  <si>
    <t xml:space="preserve">Кодова обгортка: Modal Container + Picker. Окремий компонент у дизайні не потрібен.</t>
  </si>
  <si>
    <t xml:space="preserve">#16 + #1</t>
  </si>
  <si>
    <t xml:space="preserve">ModalSelectSingleStringFromSet</t>
  </si>
  <si>
    <t xml:space="preserve">Модальне вікно для вибору одного значення зі списку.</t>
  </si>
  <si>
    <t xml:space="preserve">Кодова обгортка: Modal Container + Picker.</t>
  </si>
  <si>
    <t xml:space="preserve">#16 + #2</t>
  </si>
  <si>
    <t xml:space="preserve">DancesAndLevelPicker</t>
  </si>
  <si>
    <t xml:space="preserve">Комбінований пікер: вибір танцю і рівня одночасно.</t>
  </si>
  <si>
    <t xml:space="preserve">Фіча / частина екрана</t>
  </si>
  <si>
    <t xml:space="preserve">Специфічна композиція: Chips + Dance Level. Збирається на екрані з наявних компонентів.</t>
  </si>
  <si>
    <t xml:space="preserve">Chips + #73</t>
  </si>
  <si>
    <t xml:space="preserve">ModalDancesAndLevel</t>
  </si>
  <si>
    <t xml:space="preserve">Модальна версія DancesAndLevelPicker.</t>
  </si>
  <si>
    <t xml:space="preserve">Кодова обгортка: Modal Container + DancesAndLevelPicker.</t>
  </si>
  <si>
    <t xml:space="preserve">#16 + #6</t>
  </si>
  <si>
    <t xml:space="preserve">AspectRatioPicker</t>
  </si>
  <si>
    <t xml:space="preserve">Вибір співвідношення сторін для фото чи відео.</t>
  </si>
  <si>
    <t xml:space="preserve">Частина флоу завантаження фото, збирається з Segmented Buttons.</t>
  </si>
  <si>
    <t xml:space="preserve">ToggleButtonForDanceInterest</t>
  </si>
  <si>
    <t xml:space="preserve">Toggle спеціально для позначення 'цікавить цей танець'.</t>
  </si>
  <si>
    <t xml:space="preserve">Варіант іншого компонента</t>
  </si>
  <si>
    <t xml:space="preserve">Той самий Toggle Button, лише інший контент.</t>
  </si>
  <si>
    <t xml:space="preserve">#13</t>
  </si>
  <si>
    <t xml:space="preserve">ToggleButtonWithCustomRender</t>
  </si>
  <si>
    <t xml:space="preserve">Toggle з повністю кастомним візуалом вмісту.</t>
  </si>
  <si>
    <t xml:space="preserve">Код / логіка</t>
  </si>
  <si>
    <t xml:space="preserve">Абстракція коду (довільний render усередині toggle), візуально не окремий компонент.</t>
  </si>
  <si>
    <t xml:space="preserve">ToggleButtonWithMaybeConfirmationModal</t>
  </si>
  <si>
    <t xml:space="preserve">Toggle, що може відкривати модалку підтвердження перед зміною стану.</t>
  </si>
  <si>
    <t xml:space="preserve">Логіка: toggle + наявна модалка підтвердження.</t>
  </si>
  <si>
    <t xml:space="preserve">#13 + #17</t>
  </si>
  <si>
    <t xml:space="preserve">ModalAskOkOrNotWithReason</t>
  </si>
  <si>
    <t xml:space="preserve">Те саме, але з полем для причини відмови чи підтвердження.</t>
  </si>
  <si>
    <t xml:space="preserve">Confirmation Dialog + Text Field, а не новий компонент.</t>
  </si>
  <si>
    <t xml:space="preserve">#17</t>
  </si>
  <si>
    <t xml:space="preserve">TextInputWithValidationAndMaybeSecure</t>
  </si>
  <si>
    <t xml:space="preserve">Поле з валідацією і опційним secure-режимом, без обмеження в один рядок.</t>
  </si>
  <si>
    <t xml:space="preserve">Дублікат #22 — та сама візуальна поведінка інпуту.</t>
  </si>
  <si>
    <t xml:space="preserve">#22</t>
  </si>
  <si>
    <t xml:space="preserve">TextInputForUserResume</t>
  </si>
  <si>
    <t xml:space="preserve">Велике текстове поле для опису/резюме користувача.</t>
  </si>
  <si>
    <t xml:space="preserve">Звичайне багаторядкове поле — варіант Text Field.</t>
  </si>
  <si>
    <t xml:space="preserve">#22 (Multiline)</t>
  </si>
  <si>
    <t xml:space="preserve">TextInputWaitingForNumerical</t>
  </si>
  <si>
    <t xml:space="preserve">Поле для введення лише чисел зі станом завантаження.</t>
  </si>
  <si>
    <t xml:space="preserve">Числовий ввід — це тип клавіатури (код), візуально Text Field.</t>
  </si>
  <si>
    <t xml:space="preserve">ButtonForPickers</t>
  </si>
  <si>
    <t xml:space="preserve">Кнопка, що відкриває пікер.</t>
  </si>
  <si>
    <t xml:space="preserve">Кнопка, що відкриває пікер, = поле Dropdown.</t>
  </si>
  <si>
    <t xml:space="preserve">#9</t>
  </si>
  <si>
    <t xml:space="preserve">PressableIconWaitingWhenPressed</t>
  </si>
  <si>
    <t xml:space="preserve">Кнопка-іконка зі станом очікування після натискання.</t>
  </si>
  <si>
    <t xml:space="preserve">Стан іншого компонента</t>
  </si>
  <si>
    <t xml:space="preserve">Не окремий компонент, а стан Loading кнопки-іконки.</t>
  </si>
  <si>
    <t xml:space="preserve">#32 (стан Loading)</t>
  </si>
  <si>
    <t xml:space="preserve">PressableIconsRightAlignedWithInPlaceModal</t>
  </si>
  <si>
    <t xml:space="preserve">Ряд іконок справа, що відкривають модалку на місці.</t>
  </si>
  <si>
    <t xml:space="preserve">Композиція коду: ряд Icon Button + модалка.</t>
  </si>
  <si>
    <t xml:space="preserve">#32 + #16</t>
  </si>
  <si>
    <t xml:space="preserve">PressableWithDisplayComponent</t>
  </si>
  <si>
    <t xml:space="preserve">Кнопка, що рендерить довільний компонент замість тексту чи іконки.</t>
  </si>
  <si>
    <t xml:space="preserve">Абстракція коду (кнопка з довільним вмістом).</t>
  </si>
  <si>
    <t xml:space="preserve">—</t>
  </si>
  <si>
    <t xml:space="preserve">ColorStyleButton</t>
  </si>
  <si>
    <t xml:space="preserve">Кнопка для вибору кольору чи стилю.</t>
  </si>
  <si>
    <t xml:space="preserve">Вузькоспеціальна кнопка вибору стилю, не базовий елемент.</t>
  </si>
  <si>
    <t xml:space="preserve">PostWithEditButtons</t>
  </si>
  <si>
    <t xml:space="preserve">Пост з кнопками редагування для автора.</t>
  </si>
  <si>
    <t xml:space="preserve">Пост автора з кнопками Edit / Delete — варіант Post.</t>
  </si>
  <si>
    <t xml:space="preserve">#46</t>
  </si>
  <si>
    <t xml:space="preserve">PostApprovalWithEditButtons</t>
  </si>
  <si>
    <t xml:space="preserve">Пост з кнопками модерації (approve/reject) і редагування.</t>
  </si>
  <si>
    <t xml:space="preserve">Пост на модерації — варіант Post.</t>
  </si>
  <si>
    <t xml:space="preserve">PostOrEventViewerForMutedOrReported</t>
  </si>
  <si>
    <t xml:space="preserve">Плейсхолдер для прихованого або поскарженого контенту.</t>
  </si>
  <si>
    <t xml:space="preserve">Прихований / поскаржений пост — стан Post.</t>
  </si>
  <si>
    <t xml:space="preserve">EventMetaDataViewer</t>
  </si>
  <si>
    <t xml:space="preserve">Метадані події: дата, локація тощо.</t>
  </si>
  <si>
    <t xml:space="preserve">Дублікат #51 Post/Metadata Row (перевикористаний).</t>
  </si>
  <si>
    <t xml:space="preserve">#51</t>
  </si>
  <si>
    <t xml:space="preserve">EventEditorInPost</t>
  </si>
  <si>
    <t xml:space="preserve">Форма створення чи редагування події.</t>
  </si>
  <si>
    <t xml:space="preserve">Екран, не компонент</t>
  </si>
  <si>
    <t xml:space="preserve">Це екран-форма, зібраний з інпутів, а не компонент дизайн-системи.</t>
  </si>
  <si>
    <t xml:space="preserve">Екран (Inputs #22, #115…)</t>
  </si>
  <si>
    <t xml:space="preserve">RichText</t>
  </si>
  <si>
    <t xml:space="preserve">Форматований текст із жирним, курсивом, посиланнями.</t>
  </si>
  <si>
    <t xml:space="preserve">Відображення форматованого тексту покривається Typography styles.</t>
  </si>
  <si>
    <t xml:space="preserve">Typography</t>
  </si>
  <si>
    <t xml:space="preserve">MultiImageSelector</t>
  </si>
  <si>
    <t xml:space="preserve">Вибір кількох зображень, напр. для завантаження.</t>
  </si>
  <si>
    <t xml:space="preserve">Нативний / зовнішній компонент</t>
  </si>
  <si>
    <t xml:space="preserve">Вибір кількох фото — системна галерея.</t>
  </si>
  <si>
    <t xml:space="preserve">Система</t>
  </si>
  <si>
    <t xml:space="preserve">UserMainInfoShower</t>
  </si>
  <si>
    <t xml:space="preserve">Повна інформація про користувача.</t>
  </si>
  <si>
    <t xml:space="preserve">Секція екрана профілю, а не компонент дизайн-системи.</t>
  </si>
  <si>
    <t xml:space="preserve">Екран Profile</t>
  </si>
  <si>
    <t xml:space="preserve">UserProfileViewHorizontalMinimal</t>
  </si>
  <si>
    <t xml:space="preserve">Горизонтальна міні-картка профілю.</t>
  </si>
  <si>
    <t xml:space="preserve">Горизонтальна картка юзера — варіант User list item.</t>
  </si>
  <si>
    <t xml:space="preserve">#60</t>
  </si>
  <si>
    <t xml:space="preserve">NameAliasAndCityShower</t>
  </si>
  <si>
    <t xml:space="preserve">Ім'я, нікнейм і місто одним блоком.</t>
  </si>
  <si>
    <t xml:space="preserve">Ім'я + нікнейм + місто — текстовий блок усередині User list item.</t>
  </si>
  <si>
    <t xml:space="preserve">AliasAndDeepLink</t>
  </si>
  <si>
    <t xml:space="preserve">Нікнейм з посиланням на профіль.</t>
  </si>
  <si>
    <t xml:space="preserve">Логіка deep link; візуально — текст-посилання.</t>
  </si>
  <si>
    <t xml:space="preserve">Typography (link) / #64</t>
  </si>
  <si>
    <t xml:space="preserve">UserToPostActionsButtons</t>
  </si>
  <si>
    <t xml:space="preserve">Дії користувача над постом: поскаржитись, заблокувати автора тощо.</t>
  </si>
  <si>
    <t xml:space="preserve">Конкретний набір пунктів меню, а не компонент. Потрібен загальний Menu / Action Sheet.</t>
  </si>
  <si>
    <t xml:space="preserve">Menu (додати)</t>
  </si>
  <si>
    <t xml:space="preserve">UserToEventActionsButtons</t>
  </si>
  <si>
    <t xml:space="preserve">Дії користувача над подією.</t>
  </si>
  <si>
    <t xml:space="preserve">Конкретний набір кнопок для події.</t>
  </si>
  <si>
    <t xml:space="preserve">Button / Menu</t>
  </si>
  <si>
    <t xml:space="preserve">UserToUserActionsButtons</t>
  </si>
  <si>
    <t xml:space="preserve">Дії між користувачами: підписатись, повідомлення, заблокувати.</t>
  </si>
  <si>
    <t xml:space="preserve">Конкретний набір кнопок на профілі (Follow, Message).</t>
  </si>
  <si>
    <t xml:space="preserve">Button</t>
  </si>
  <si>
    <t xml:space="preserve">LegendColoredWithBadge</t>
  </si>
  <si>
    <t xml:space="preserve">Кольорова легенда з лічильником-бейджем.</t>
  </si>
  <si>
    <t xml:space="preserve">Legend + Badge.</t>
  </si>
  <si>
    <t xml:space="preserve">#69</t>
  </si>
  <si>
    <t xml:space="preserve">LegendBrandName</t>
  </si>
  <si>
    <t xml:space="preserve">Легенда чи мітка з назвою бренду.</t>
  </si>
  <si>
    <t xml:space="preserve">Вузькоспеціальна мітка бренду.</t>
  </si>
  <si>
    <t xml:space="preserve">LegendFamousPeopleNames</t>
  </si>
  <si>
    <t xml:space="preserve">Легенда з іменами відомих людей, напр. хто виступає.</t>
  </si>
  <si>
    <t xml:space="preserve">Список імен — текст на екрані події.</t>
  </si>
  <si>
    <t xml:space="preserve">SomeLabelsShower</t>
  </si>
  <si>
    <t xml:space="preserve">Узагальнений показ довільного набору лейблів.</t>
  </si>
  <si>
    <t xml:space="preserve">Узагальнена абстракція коду для довільних лейблів.</t>
  </si>
  <si>
    <t xml:space="preserve">#77 / #78</t>
  </si>
  <si>
    <t xml:space="preserve">ProfileTagsLegend</t>
  </si>
  <si>
    <t xml:space="preserve">Легенда тегів у профілі: ролі, рівень тощо.</t>
  </si>
  <si>
    <t xml:space="preserve">Теги профілю = група Chips.</t>
  </si>
  <si>
    <t xml:space="preserve">Chips</t>
  </si>
  <si>
    <t xml:space="preserve">ColoredIconWithBadge</t>
  </si>
  <si>
    <t xml:space="preserve">Кольорова іконка з бейджем-лічильником.</t>
  </si>
  <si>
    <t xml:space="preserve">Іконка + бейдж = IconWithBubble.</t>
  </si>
  <si>
    <t xml:space="preserve">#80</t>
  </si>
  <si>
    <t xml:space="preserve">RemoteImageOrBackground</t>
  </si>
  <si>
    <t xml:space="preserve">Завантажене зображення як контент або фон.</t>
  </si>
  <si>
    <t xml:space="preserve">Логіка завантаження зображення; візуально — звичайне фото.</t>
  </si>
  <si>
    <t xml:space="preserve">Post/Media</t>
  </si>
  <si>
    <t xml:space="preserve">CroppedImagePicker</t>
  </si>
  <si>
    <t xml:space="preserve">Вибір зображення з обрізкою.</t>
  </si>
  <si>
    <t xml:space="preserve">Обрізка фото — системний або бібліотечний UI.</t>
  </si>
  <si>
    <t xml:space="preserve">Бібліотека</t>
  </si>
  <si>
    <t xml:space="preserve">ProfileCoverAndMiniatureImageViewer</t>
  </si>
  <si>
    <t xml:space="preserve">Перегляд обкладинки профілю і мініатюри.</t>
  </si>
  <si>
    <t xml:space="preserve">Обкладинка + аватар — частина екрана профілю.</t>
  </si>
  <si>
    <t xml:space="preserve">RatingControlsForPost</t>
  </si>
  <si>
    <t xml:space="preserve">Рейтинг посту.</t>
  </si>
  <si>
    <t xml:space="preserve">Той самий Rating, відрізняється лише даними.</t>
  </si>
  <si>
    <t xml:space="preserve">#86</t>
  </si>
  <si>
    <t xml:space="preserve">RatingControlsForEvent</t>
  </si>
  <si>
    <t xml:space="preserve">Рейтинг події.</t>
  </si>
  <si>
    <t xml:space="preserve">RatingControlsForUser</t>
  </si>
  <si>
    <t xml:space="preserve">Рейтинг користувача.</t>
  </si>
  <si>
    <t xml:space="preserve">Адмін</t>
  </si>
  <si>
    <t xml:space="preserve">MgmtControlsPosts</t>
  </si>
  <si>
    <t xml:space="preserve">Адмін-контролі для постів: видалити, сховати тощо.</t>
  </si>
  <si>
    <t xml:space="preserve">Адмінка</t>
  </si>
  <si>
    <t xml:space="preserve">Адмін-панель, не входить у продуктову дизайн-систему.</t>
  </si>
  <si>
    <t xml:space="preserve">MgmtControlsPostApproval</t>
  </si>
  <si>
    <t xml:space="preserve">Контролі модерації чи затвердження постів.</t>
  </si>
  <si>
    <t xml:space="preserve">Адмін-панель.</t>
  </si>
  <si>
    <t xml:space="preserve">MgmtControlsPeopleSearch</t>
  </si>
  <si>
    <t xml:space="preserve">Пошук користувачів для адмін-панелі.</t>
  </si>
  <si>
    <t xml:space="preserve">MgmtControlsPostsCommon</t>
  </si>
  <si>
    <t xml:space="preserve">Спільні елементи керування для адмінки постів.</t>
  </si>
  <si>
    <t xml:space="preserve">Спільні кодові хелпери для адмінки, не UI-елемент.</t>
  </si>
  <si>
    <t xml:space="preserve">#92</t>
  </si>
  <si>
    <t xml:space="preserve">NotificationForCityViewer</t>
  </si>
  <si>
    <t xml:space="preserve">Сповіщення, прив'язане до міста чи локації.</t>
  </si>
  <si>
    <t xml:space="preserve">Той самий Notification item, інший контент.</t>
  </si>
  <si>
    <t xml:space="preserve">#97</t>
  </si>
  <si>
    <t xml:space="preserve">Геолокація</t>
  </si>
  <si>
    <t xml:space="preserve">GoogleMapsAddressPicker</t>
  </si>
  <si>
    <t xml:space="preserve">Вибір адреси через Google Maps.</t>
  </si>
  <si>
    <t xml:space="preserve">Google Maps SDK. У дизайні — Search field з іконкою локації.</t>
  </si>
  <si>
    <t xml:space="preserve">#24</t>
  </si>
  <si>
    <t xml:space="preserve">LoadingIcon</t>
  </si>
  <si>
    <t xml:space="preserve">Іконка завантаження, можливо менша чи інакша за LoadingIndicator.</t>
  </si>
  <si>
    <t xml:space="preserve">Дублікат спінера.</t>
  </si>
  <si>
    <t xml:space="preserve">#100</t>
  </si>
  <si>
    <t xml:space="preserve">HintText</t>
  </si>
  <si>
    <t xml:space="preserve">Підказка під полем чи елементом.</t>
  </si>
  <si>
    <t xml:space="preserve">Частина Text Field (supporting text), не окремий компонент.</t>
  </si>
  <si>
    <t xml:space="preserve">Інше</t>
  </si>
  <si>
    <t xml:space="preserve">TextOrDateInputsMinMaxControls</t>
  </si>
  <si>
    <t xml:space="preserve">Контроль мін/макс для текстових або дата-полів.</t>
  </si>
  <si>
    <t xml:space="preserve">Логіка валідації min/max.</t>
  </si>
  <si>
    <t xml:space="preserve">#22 (стан Error)</t>
  </si>
  <si>
    <t xml:space="preserve">LLMModelCard</t>
  </si>
  <si>
    <t xml:space="preserve">Картка вибору AI-моделі.</t>
  </si>
  <si>
    <t xml:space="preserve">Вузькоспеціальна картка, не базовий елемент.</t>
  </si>
  <si>
    <t xml:space="preserve">TermsAndConditions</t>
  </si>
  <si>
    <t xml:space="preserve">Екран умов використання.</t>
  </si>
  <si>
    <t xml:space="preserve">Екран з текстом, не компонент.</t>
  </si>
  <si>
    <t xml:space="preserve">Екран</t>
  </si>
  <si>
    <t xml:space="preserve">FeedHeaderBar</t>
  </si>
  <si>
    <t xml:space="preserve">Верхня панель стрічки: заголовок, фільтри, іконки.</t>
  </si>
  <si>
    <t xml:space="preserve">Варіант Navigation/Appbar.</t>
  </si>
  <si>
    <t xml:space="preserve">Appbar</t>
  </si>
  <si>
    <t xml:space="preserve">DateTimePicker</t>
  </si>
  <si>
    <t xml:space="preserve">Комбінований вибір дати і часу.</t>
  </si>
  <si>
    <t xml:space="preserve">DateSelector + TimeSelector.</t>
  </si>
  <si>
    <t xml:space="preserve">#115 + #114</t>
  </si>
  <si>
    <t xml:space="preserve">DatesAndTimesDisplay</t>
  </si>
  <si>
    <t xml:space="preserve">Показ кількох дат чи часів одним блоком.</t>
  </si>
  <si>
    <t xml:space="preserve">Форматування дат — текст.</t>
  </si>
  <si>
    <t xml:space="preserve">DatesAndTimesPicker</t>
  </si>
  <si>
    <t xml:space="preserve">Вибір кількох дат чи часів.</t>
  </si>
  <si>
    <t xml:space="preserve">Список дат з пікером — збирається з наявних.</t>
  </si>
  <si>
    <t xml:space="preserve">#115</t>
  </si>
  <si>
    <t xml:space="preserve">IntervalAndFrequencySelector</t>
  </si>
  <si>
    <t xml:space="preserve">Вибір інтервалу і частоти повторення, напр. 'щотижня'.</t>
  </si>
  <si>
    <t xml:space="preserve">Форма повторення події, збирається з Segmented / Radio.</t>
  </si>
  <si>
    <t xml:space="preserve">#11 / #10</t>
  </si>
  <si>
    <t xml:space="preserve">MonthDaySelector</t>
  </si>
  <si>
    <t xml:space="preserve">Вибір місяця і дня.</t>
  </si>
  <si>
    <t xml:space="preserve">Вигляд Day у DateSelector.</t>
  </si>
  <si>
    <t xml:space="preserve">MonthYearSelector</t>
  </si>
  <si>
    <t xml:space="preserve">Вибір місяця і року.</t>
  </si>
  <si>
    <t xml:space="preserve">Вигляд Month / Year у DateSelector.</t>
  </si>
  <si>
    <t xml:space="preserve">RepetitionEndSelector</t>
  </si>
  <si>
    <t xml:space="preserve">Вибір дати завершення повторюваної події.</t>
  </si>
  <si>
    <t xml:space="preserve">Частина форми повторення, збирається з Radio + DateSelector.</t>
  </si>
  <si>
    <t xml:space="preserve">#10 + #115</t>
  </si>
  <si>
    <t xml:space="preserve">WeekdaysSelector</t>
  </si>
  <si>
    <t xml:space="preserve">Вибір днів тижня, напр. Пн/Ср/Пт.</t>
  </si>
  <si>
    <t xml:space="preserve">Дні тижня = група Chips.</t>
  </si>
  <si>
    <t xml:space="preserve">ImageBackground</t>
  </si>
  <si>
    <t xml:space="preserve">Зображення як фон контейнера з вмістом поверх.</t>
  </si>
  <si>
    <t xml:space="preserve">Нативний RN-компонент (ImageBackground), візуально — фото.</t>
  </si>
  <si>
    <t xml:space="preserve">RefreshControl</t>
  </si>
  <si>
    <t xml:space="preserve">Індикатор 'потягни щоб оновити'.</t>
  </si>
  <si>
    <t xml:space="preserve">Нативна поведінка RN (pull-to-refresh), системний вигляд.</t>
  </si>
  <si>
    <t xml:space="preserve">Анімації / жести</t>
  </si>
  <si>
    <t xml:space="preserve">AnimatedProgressBar</t>
  </si>
  <si>
    <t xml:space="preserve">Прогрес-бар з анімацією заповнення.</t>
  </si>
  <si>
    <t xml:space="preserve">Анімація реалізується в коді; статичні стани вже є у Progress Bar.</t>
  </si>
  <si>
    <t xml:space="preserve">Feedback/Progress Bar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</si>
</sst>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4"/>
      <color rgb="FF241B3D"/>
      <name val="Arial"/>
      <family val="0"/>
      <charset val="1"/>
    </font>
    <font>
      <i val="true"/>
      <sz val="10"/>
      <color rgb="FF6E6580"/>
      <name val="Arial"/>
      <family val="0"/>
      <charset val="1"/>
    </font>
    <font>
      <b val="true"/>
      <sz val="10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B3FA6"/>
        <bgColor rgb="FF6E6580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9D9D9"/>
      </patternFill>
    </fill>
    <fill>
      <patternFill patternType="solid">
        <fgColor rgb="FFD9EAD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5B3FA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E6580"/>
      <rgbColor rgb="FF969696"/>
      <rgbColor rgb="FF003366"/>
      <rgbColor rgb="FF339966"/>
      <rgbColor rgb="FF003300"/>
      <rgbColor rgb="FF333300"/>
      <rgbColor rgb="FF993300"/>
      <rgbColor rgb="FF993366"/>
      <rgbColor rgb="FF5B3FA6"/>
      <rgbColor rgb="FF241B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46"/>
    <col collapsed="false" customWidth="true" hidden="false" outlineLevel="0" max="5" min="5" style="0" width="13"/>
    <col collapsed="false" customWidth="true" hidden="false" outlineLevel="0" max="6" min="6" style="0" width="50"/>
    <col collapsed="false" customWidth="true" hidden="false" outlineLevel="0" max="7" min="7" style="0" width="46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26" min="10" style="0" width="6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n">
        <v>1</v>
      </c>
      <c r="B2" s="2" t="s">
        <v>10</v>
      </c>
      <c r="C2" s="2" t="s">
        <v>11</v>
      </c>
      <c r="D2" s="3" t="s">
        <v>12</v>
      </c>
      <c r="E2" s="4" t="s">
        <v>13</v>
      </c>
      <c r="F2" s="3" t="s">
        <v>14</v>
      </c>
      <c r="G2" s="3" t="s">
        <v>15</v>
      </c>
      <c r="H2" s="2" t="s">
        <v>16</v>
      </c>
      <c r="I2" s="3"/>
      <c r="J2" s="5" t="s">
        <v>17</v>
      </c>
    </row>
    <row r="3" customFormat="false" ht="23.85" hidden="false" customHeight="false" outlineLevel="0" collapsed="false">
      <c r="A3" s="2" t="n">
        <v>2</v>
      </c>
      <c r="B3" s="2" t="s">
        <v>10</v>
      </c>
      <c r="C3" s="2" t="s">
        <v>18</v>
      </c>
      <c r="D3" s="3" t="s">
        <v>19</v>
      </c>
      <c r="E3" s="4" t="s">
        <v>13</v>
      </c>
      <c r="F3" s="3" t="s">
        <v>20</v>
      </c>
      <c r="G3" s="3" t="s">
        <v>21</v>
      </c>
      <c r="H3" s="2" t="s">
        <v>16</v>
      </c>
      <c r="I3" s="3"/>
      <c r="J3" s="5" t="s">
        <v>22</v>
      </c>
    </row>
    <row r="4" customFormat="false" ht="23.85" hidden="false" customHeight="false" outlineLevel="0" collapsed="false">
      <c r="A4" s="2" t="n">
        <v>11</v>
      </c>
      <c r="B4" s="2" t="s">
        <v>10</v>
      </c>
      <c r="C4" s="2" t="s">
        <v>23</v>
      </c>
      <c r="D4" s="3" t="s">
        <v>24</v>
      </c>
      <c r="E4" s="4" t="s">
        <v>13</v>
      </c>
      <c r="F4" s="3" t="s">
        <v>25</v>
      </c>
      <c r="G4" s="3" t="s">
        <v>26</v>
      </c>
      <c r="H4" s="2" t="s">
        <v>16</v>
      </c>
      <c r="I4" s="6" t="s">
        <v>27</v>
      </c>
      <c r="J4" s="5" t="s">
        <v>28</v>
      </c>
    </row>
    <row r="5" customFormat="false" ht="15" hidden="false" customHeight="false" outlineLevel="0" collapsed="false">
      <c r="A5" s="2" t="n">
        <v>13</v>
      </c>
      <c r="B5" s="2" t="s">
        <v>10</v>
      </c>
      <c r="C5" s="2" t="s">
        <v>29</v>
      </c>
      <c r="D5" s="3" t="s">
        <v>30</v>
      </c>
      <c r="E5" s="7" t="s">
        <v>31</v>
      </c>
      <c r="F5" s="3"/>
      <c r="G5" s="3"/>
      <c r="H5" s="2" t="s">
        <v>32</v>
      </c>
      <c r="I5" s="6" t="s">
        <v>33</v>
      </c>
      <c r="J5" s="5" t="s">
        <v>34</v>
      </c>
    </row>
    <row r="6" customFormat="false" ht="23.85" hidden="false" customHeight="false" outlineLevel="0" collapsed="false">
      <c r="A6" s="2" t="n">
        <v>21</v>
      </c>
      <c r="B6" s="2" t="s">
        <v>35</v>
      </c>
      <c r="C6" s="2" t="s">
        <v>36</v>
      </c>
      <c r="D6" s="3" t="s">
        <v>37</v>
      </c>
      <c r="E6" s="7" t="s">
        <v>31</v>
      </c>
      <c r="F6" s="3"/>
      <c r="G6" s="3"/>
      <c r="H6" s="2" t="s">
        <v>32</v>
      </c>
      <c r="I6" s="3"/>
      <c r="J6" s="5" t="s">
        <v>38</v>
      </c>
    </row>
    <row r="7" customFormat="false" ht="35.05" hidden="false" customHeight="false" outlineLevel="0" collapsed="false">
      <c r="A7" s="2" t="n">
        <v>22</v>
      </c>
      <c r="B7" s="2" t="s">
        <v>39</v>
      </c>
      <c r="C7" s="2" t="s">
        <v>40</v>
      </c>
      <c r="D7" s="3" t="s">
        <v>41</v>
      </c>
      <c r="E7" s="4" t="s">
        <v>13</v>
      </c>
      <c r="F7" s="3" t="s">
        <v>42</v>
      </c>
      <c r="G7" s="3" t="s">
        <v>43</v>
      </c>
      <c r="H7" s="2" t="s">
        <v>16</v>
      </c>
      <c r="I7" s="6" t="s">
        <v>44</v>
      </c>
      <c r="J7" s="5" t="s">
        <v>45</v>
      </c>
    </row>
    <row r="8" customFormat="false" ht="23.85" hidden="false" customHeight="false" outlineLevel="0" collapsed="false">
      <c r="A8" s="2" t="n">
        <v>24</v>
      </c>
      <c r="B8" s="2" t="s">
        <v>39</v>
      </c>
      <c r="C8" s="2" t="s">
        <v>46</v>
      </c>
      <c r="D8" s="3" t="s">
        <v>47</v>
      </c>
      <c r="E8" s="7" t="s">
        <v>31</v>
      </c>
      <c r="F8" s="3"/>
      <c r="G8" s="3"/>
      <c r="H8" s="2" t="s">
        <v>32</v>
      </c>
      <c r="I8" s="3"/>
      <c r="J8" s="5" t="s">
        <v>48</v>
      </c>
    </row>
    <row r="9" customFormat="false" ht="15" hidden="false" customHeight="false" outlineLevel="0" collapsed="false">
      <c r="A9" s="2" t="n">
        <v>25</v>
      </c>
      <c r="B9" s="2" t="s">
        <v>39</v>
      </c>
      <c r="C9" s="2" t="s">
        <v>49</v>
      </c>
      <c r="D9" s="3" t="s">
        <v>50</v>
      </c>
      <c r="E9" s="7" t="s">
        <v>31</v>
      </c>
      <c r="F9" s="3"/>
      <c r="G9" s="3"/>
      <c r="H9" s="2" t="s">
        <v>32</v>
      </c>
      <c r="I9" s="3"/>
      <c r="J9" s="5" t="s">
        <v>51</v>
      </c>
    </row>
    <row r="10" customFormat="false" ht="23.85" hidden="false" customHeight="false" outlineLevel="0" collapsed="false">
      <c r="A10" s="2" t="n">
        <v>28</v>
      </c>
      <c r="B10" s="2" t="s">
        <v>39</v>
      </c>
      <c r="C10" s="2" t="s">
        <v>52</v>
      </c>
      <c r="D10" s="3" t="s">
        <v>53</v>
      </c>
      <c r="E10" s="7" t="s">
        <v>31</v>
      </c>
      <c r="F10" s="3"/>
      <c r="G10" s="3"/>
      <c r="H10" s="2" t="s">
        <v>32</v>
      </c>
      <c r="I10" s="3"/>
      <c r="J10" s="5" t="s">
        <v>54</v>
      </c>
    </row>
    <row r="11" customFormat="false" ht="23.85" hidden="false" customHeight="false" outlineLevel="0" collapsed="false">
      <c r="A11" s="2" t="n">
        <v>31</v>
      </c>
      <c r="B11" s="2" t="s">
        <v>55</v>
      </c>
      <c r="C11" s="2" t="s">
        <v>56</v>
      </c>
      <c r="D11" s="3" t="s">
        <v>57</v>
      </c>
      <c r="E11" s="4" t="s">
        <v>13</v>
      </c>
      <c r="F11" s="3" t="s">
        <v>58</v>
      </c>
      <c r="G11" s="3" t="s">
        <v>59</v>
      </c>
      <c r="H11" s="2" t="s">
        <v>16</v>
      </c>
      <c r="I11" s="3"/>
      <c r="J11" s="5" t="s">
        <v>60</v>
      </c>
    </row>
    <row r="12" customFormat="false" ht="23.85" hidden="false" customHeight="false" outlineLevel="0" collapsed="false">
      <c r="A12" s="2" t="n">
        <v>40</v>
      </c>
      <c r="B12" s="2" t="s">
        <v>61</v>
      </c>
      <c r="C12" s="2" t="s">
        <v>62</v>
      </c>
      <c r="D12" s="3" t="s">
        <v>63</v>
      </c>
      <c r="E12" s="4" t="s">
        <v>13</v>
      </c>
      <c r="F12" s="3" t="s">
        <v>64</v>
      </c>
      <c r="G12" s="3" t="s">
        <v>65</v>
      </c>
      <c r="H12" s="2" t="s">
        <v>16</v>
      </c>
      <c r="I12" s="3"/>
      <c r="J12" s="5" t="s">
        <v>66</v>
      </c>
    </row>
    <row r="13" customFormat="false" ht="23.85" hidden="false" customHeight="false" outlineLevel="0" collapsed="false">
      <c r="A13" s="2" t="n">
        <v>41</v>
      </c>
      <c r="B13" s="2" t="s">
        <v>61</v>
      </c>
      <c r="C13" s="2" t="s">
        <v>67</v>
      </c>
      <c r="D13" s="3" t="s">
        <v>68</v>
      </c>
      <c r="E13" s="7" t="s">
        <v>31</v>
      </c>
      <c r="F13" s="3"/>
      <c r="G13" s="3"/>
      <c r="H13" s="2" t="s">
        <v>32</v>
      </c>
      <c r="I13" s="3"/>
      <c r="J13" s="5" t="s">
        <v>69</v>
      </c>
    </row>
    <row r="14" customFormat="false" ht="23.85" hidden="false" customHeight="false" outlineLevel="0" collapsed="false">
      <c r="A14" s="2" t="n">
        <v>44</v>
      </c>
      <c r="B14" s="2" t="s">
        <v>61</v>
      </c>
      <c r="C14" s="2" t="s">
        <v>70</v>
      </c>
      <c r="D14" s="3" t="s">
        <v>71</v>
      </c>
      <c r="E14" s="7" t="s">
        <v>31</v>
      </c>
      <c r="F14" s="3"/>
      <c r="G14" s="3"/>
      <c r="H14" s="2" t="s">
        <v>32</v>
      </c>
      <c r="I14" s="3"/>
      <c r="J14" s="5" t="s">
        <v>72</v>
      </c>
    </row>
    <row r="15" customFormat="false" ht="35.05" hidden="false" customHeight="false" outlineLevel="0" collapsed="false">
      <c r="A15" s="2" t="n">
        <v>47</v>
      </c>
      <c r="B15" s="2" t="s">
        <v>73</v>
      </c>
      <c r="C15" s="2" t="s">
        <v>74</v>
      </c>
      <c r="D15" s="3" t="s">
        <v>75</v>
      </c>
      <c r="E15" s="4" t="s">
        <v>13</v>
      </c>
      <c r="F15" s="3" t="s">
        <v>76</v>
      </c>
      <c r="G15" s="3" t="s">
        <v>77</v>
      </c>
      <c r="H15" s="2" t="s">
        <v>16</v>
      </c>
      <c r="I15" s="3"/>
      <c r="J15" s="5" t="s">
        <v>78</v>
      </c>
    </row>
    <row r="16" customFormat="false" ht="23.85" hidden="false" customHeight="false" outlineLevel="0" collapsed="false">
      <c r="A16" s="2" t="n">
        <v>56</v>
      </c>
      <c r="B16" s="2" t="s">
        <v>73</v>
      </c>
      <c r="C16" s="2" t="s">
        <v>79</v>
      </c>
      <c r="D16" s="3" t="s">
        <v>80</v>
      </c>
      <c r="E16" s="4" t="s">
        <v>13</v>
      </c>
      <c r="F16" s="3" t="s">
        <v>81</v>
      </c>
      <c r="G16" s="3" t="s">
        <v>82</v>
      </c>
      <c r="H16" s="2" t="s">
        <v>16</v>
      </c>
      <c r="I16" s="3"/>
      <c r="J16" s="5" t="s">
        <v>83</v>
      </c>
    </row>
    <row r="17" customFormat="false" ht="15" hidden="false" customHeight="false" outlineLevel="0" collapsed="false">
      <c r="A17" s="2" t="n">
        <v>58</v>
      </c>
      <c r="B17" s="2" t="s">
        <v>73</v>
      </c>
      <c r="C17" s="2" t="s">
        <v>84</v>
      </c>
      <c r="D17" s="3" t="s">
        <v>85</v>
      </c>
      <c r="E17" s="7" t="s">
        <v>31</v>
      </c>
      <c r="F17" s="3"/>
      <c r="G17" s="3"/>
      <c r="H17" s="2" t="s">
        <v>32</v>
      </c>
      <c r="I17" s="3"/>
      <c r="J17" s="5" t="s">
        <v>86</v>
      </c>
    </row>
    <row r="18" customFormat="false" ht="23.85" hidden="false" customHeight="false" outlineLevel="0" collapsed="false">
      <c r="A18" s="2" t="n">
        <v>60</v>
      </c>
      <c r="B18" s="2" t="s">
        <v>87</v>
      </c>
      <c r="C18" s="2" t="s">
        <v>88</v>
      </c>
      <c r="D18" s="3" t="s">
        <v>89</v>
      </c>
      <c r="E18" s="7" t="s">
        <v>31</v>
      </c>
      <c r="F18" s="3"/>
      <c r="G18" s="3"/>
      <c r="H18" s="2" t="s">
        <v>32</v>
      </c>
      <c r="I18" s="6" t="s">
        <v>90</v>
      </c>
      <c r="J18" s="5" t="s">
        <v>91</v>
      </c>
    </row>
    <row r="19" customFormat="false" ht="23.85" hidden="false" customHeight="false" outlineLevel="0" collapsed="false">
      <c r="A19" s="2" t="n">
        <v>62</v>
      </c>
      <c r="B19" s="2" t="s">
        <v>87</v>
      </c>
      <c r="C19" s="2" t="s">
        <v>92</v>
      </c>
      <c r="D19" s="3" t="s">
        <v>93</v>
      </c>
      <c r="E19" s="4" t="s">
        <v>13</v>
      </c>
      <c r="F19" s="3" t="s">
        <v>94</v>
      </c>
      <c r="G19" s="3" t="s">
        <v>95</v>
      </c>
      <c r="H19" s="2" t="s">
        <v>16</v>
      </c>
      <c r="I19" s="3"/>
      <c r="J19" s="5" t="s">
        <v>96</v>
      </c>
    </row>
    <row r="20" customFormat="false" ht="15" hidden="false" customHeight="false" outlineLevel="0" collapsed="false">
      <c r="A20" s="2" t="n">
        <v>69</v>
      </c>
      <c r="B20" s="2" t="s">
        <v>97</v>
      </c>
      <c r="C20" s="2" t="s">
        <v>98</v>
      </c>
      <c r="D20" s="3" t="s">
        <v>99</v>
      </c>
      <c r="E20" s="7" t="s">
        <v>31</v>
      </c>
      <c r="F20" s="3"/>
      <c r="G20" s="3"/>
      <c r="H20" s="2" t="s">
        <v>32</v>
      </c>
      <c r="I20" s="6" t="s">
        <v>100</v>
      </c>
      <c r="J20" s="5" t="s">
        <v>101</v>
      </c>
    </row>
    <row r="21" customFormat="false" ht="15" hidden="false" customHeight="false" outlineLevel="0" collapsed="false">
      <c r="A21" s="2" t="n">
        <v>70</v>
      </c>
      <c r="B21" s="2" t="s">
        <v>97</v>
      </c>
      <c r="C21" s="2" t="s">
        <v>102</v>
      </c>
      <c r="D21" s="3" t="s">
        <v>103</v>
      </c>
      <c r="E21" s="7" t="s">
        <v>31</v>
      </c>
      <c r="F21" s="3"/>
      <c r="G21" s="3"/>
      <c r="H21" s="2" t="s">
        <v>32</v>
      </c>
      <c r="I21" s="3"/>
      <c r="J21" s="5" t="s">
        <v>104</v>
      </c>
    </row>
    <row r="22" customFormat="false" ht="23.85" hidden="false" customHeight="false" outlineLevel="0" collapsed="false">
      <c r="A22" s="2" t="n">
        <v>74</v>
      </c>
      <c r="B22" s="2" t="s">
        <v>97</v>
      </c>
      <c r="C22" s="2" t="s">
        <v>105</v>
      </c>
      <c r="D22" s="3" t="s">
        <v>106</v>
      </c>
      <c r="E22" s="4" t="s">
        <v>13</v>
      </c>
      <c r="F22" s="3" t="s">
        <v>107</v>
      </c>
      <c r="G22" s="3" t="s">
        <v>108</v>
      </c>
      <c r="H22" s="2" t="s">
        <v>16</v>
      </c>
      <c r="I22" s="3"/>
      <c r="J22" s="5" t="s">
        <v>109</v>
      </c>
    </row>
    <row r="23" customFormat="false" ht="23.85" hidden="false" customHeight="false" outlineLevel="0" collapsed="false">
      <c r="A23" s="2" t="n">
        <v>77</v>
      </c>
      <c r="B23" s="2" t="s">
        <v>97</v>
      </c>
      <c r="C23" s="2" t="s">
        <v>110</v>
      </c>
      <c r="D23" s="3" t="s">
        <v>111</v>
      </c>
      <c r="E23" s="4" t="s">
        <v>13</v>
      </c>
      <c r="F23" s="3" t="s">
        <v>112</v>
      </c>
      <c r="G23" s="3" t="s">
        <v>113</v>
      </c>
      <c r="H23" s="2" t="s">
        <v>16</v>
      </c>
      <c r="I23" s="3"/>
      <c r="J23" s="5" t="s">
        <v>114</v>
      </c>
    </row>
    <row r="24" customFormat="false" ht="15" hidden="false" customHeight="false" outlineLevel="0" collapsed="false">
      <c r="A24" s="2" t="n">
        <v>80</v>
      </c>
      <c r="B24" s="2" t="s">
        <v>97</v>
      </c>
      <c r="C24" s="2" t="s">
        <v>115</v>
      </c>
      <c r="D24" s="3" t="s">
        <v>116</v>
      </c>
      <c r="E24" s="7" t="s">
        <v>31</v>
      </c>
      <c r="F24" s="3"/>
      <c r="G24" s="3"/>
      <c r="H24" s="2" t="s">
        <v>32</v>
      </c>
      <c r="I24" s="6" t="s">
        <v>117</v>
      </c>
      <c r="J24" s="5" t="s">
        <v>118</v>
      </c>
    </row>
    <row r="25" customFormat="false" ht="15" hidden="false" customHeight="false" outlineLevel="0" collapsed="false">
      <c r="A25" s="2" t="n">
        <v>85</v>
      </c>
      <c r="B25" s="2" t="s">
        <v>119</v>
      </c>
      <c r="C25" s="2" t="s">
        <v>120</v>
      </c>
      <c r="D25" s="3" t="s">
        <v>121</v>
      </c>
      <c r="E25" s="7" t="s">
        <v>31</v>
      </c>
      <c r="F25" s="3"/>
      <c r="G25" s="3"/>
      <c r="H25" s="2" t="s">
        <v>32</v>
      </c>
      <c r="I25" s="3"/>
      <c r="J25" s="5" t="s">
        <v>122</v>
      </c>
    </row>
    <row r="26" customFormat="false" ht="23.85" hidden="false" customHeight="false" outlineLevel="0" collapsed="false">
      <c r="A26" s="2" t="n">
        <v>86</v>
      </c>
      <c r="B26" s="2" t="s">
        <v>123</v>
      </c>
      <c r="C26" s="2" t="s">
        <v>124</v>
      </c>
      <c r="D26" s="3" t="s">
        <v>125</v>
      </c>
      <c r="E26" s="7" t="s">
        <v>31</v>
      </c>
      <c r="F26" s="3"/>
      <c r="G26" s="3"/>
      <c r="H26" s="2" t="s">
        <v>32</v>
      </c>
      <c r="I26" s="6" t="s">
        <v>126</v>
      </c>
      <c r="J26" s="5" t="s">
        <v>127</v>
      </c>
    </row>
    <row r="27" customFormat="false" ht="15" hidden="false" customHeight="false" outlineLevel="0" collapsed="false">
      <c r="A27" s="2" t="n">
        <v>90</v>
      </c>
      <c r="B27" s="2" t="s">
        <v>123</v>
      </c>
      <c r="C27" s="2" t="s">
        <v>128</v>
      </c>
      <c r="D27" s="3" t="s">
        <v>129</v>
      </c>
      <c r="E27" s="7" t="s">
        <v>31</v>
      </c>
      <c r="F27" s="3"/>
      <c r="G27" s="3"/>
      <c r="H27" s="2" t="s">
        <v>32</v>
      </c>
      <c r="I27" s="3"/>
      <c r="J27" s="5" t="s">
        <v>130</v>
      </c>
    </row>
    <row r="28" customFormat="false" ht="15" hidden="false" customHeight="false" outlineLevel="0" collapsed="false">
      <c r="A28" s="2" t="n">
        <v>91</v>
      </c>
      <c r="B28" s="2" t="s">
        <v>131</v>
      </c>
      <c r="C28" s="2" t="s">
        <v>132</v>
      </c>
      <c r="D28" s="3" t="s">
        <v>133</v>
      </c>
      <c r="E28" s="7" t="s">
        <v>31</v>
      </c>
      <c r="F28" s="3"/>
      <c r="G28" s="3"/>
      <c r="H28" s="2" t="s">
        <v>32</v>
      </c>
      <c r="I28" s="3"/>
      <c r="J28" s="5" t="s">
        <v>134</v>
      </c>
    </row>
    <row r="29" customFormat="false" ht="15" hidden="false" customHeight="false" outlineLevel="0" collapsed="false">
      <c r="A29" s="2" t="n">
        <v>97</v>
      </c>
      <c r="B29" s="2" t="s">
        <v>135</v>
      </c>
      <c r="C29" s="2" t="s">
        <v>136</v>
      </c>
      <c r="D29" s="3" t="s">
        <v>137</v>
      </c>
      <c r="E29" s="7" t="s">
        <v>31</v>
      </c>
      <c r="F29" s="3"/>
      <c r="G29" s="3"/>
      <c r="H29" s="2" t="s">
        <v>32</v>
      </c>
      <c r="I29" s="6" t="s">
        <v>138</v>
      </c>
      <c r="J29" s="5" t="s">
        <v>139</v>
      </c>
    </row>
    <row r="30" customFormat="false" ht="23.85" hidden="false" customHeight="false" outlineLevel="0" collapsed="false">
      <c r="A30" s="2" t="n">
        <v>102</v>
      </c>
      <c r="B30" s="2" t="s">
        <v>140</v>
      </c>
      <c r="C30" s="2" t="s">
        <v>141</v>
      </c>
      <c r="D30" s="3" t="s">
        <v>142</v>
      </c>
      <c r="E30" s="7" t="s">
        <v>31</v>
      </c>
      <c r="F30" s="3"/>
      <c r="G30" s="3"/>
      <c r="H30" s="2" t="s">
        <v>32</v>
      </c>
      <c r="I30" s="3"/>
      <c r="J30" s="5" t="s">
        <v>143</v>
      </c>
    </row>
    <row r="31" customFormat="false" ht="15" hidden="false" customHeight="false" outlineLevel="0" collapsed="false">
      <c r="A31" s="2" t="n">
        <v>103</v>
      </c>
      <c r="B31" s="2" t="s">
        <v>140</v>
      </c>
      <c r="C31" s="2" t="s">
        <v>144</v>
      </c>
      <c r="D31" s="3" t="s">
        <v>145</v>
      </c>
      <c r="E31" s="7" t="s">
        <v>31</v>
      </c>
      <c r="F31" s="3"/>
      <c r="G31" s="3"/>
      <c r="H31" s="2" t="s">
        <v>32</v>
      </c>
      <c r="I31" s="3"/>
      <c r="J31" s="5" t="s">
        <v>146</v>
      </c>
    </row>
    <row r="32" customFormat="false" ht="23.85" hidden="false" customHeight="false" outlineLevel="0" collapsed="false">
      <c r="A32" s="2" t="n">
        <v>105</v>
      </c>
      <c r="B32" s="2" t="s">
        <v>140</v>
      </c>
      <c r="C32" s="2" t="s">
        <v>147</v>
      </c>
      <c r="D32" s="3" t="s">
        <v>148</v>
      </c>
      <c r="E32" s="4" t="s">
        <v>13</v>
      </c>
      <c r="F32" s="3" t="s">
        <v>149</v>
      </c>
      <c r="G32" s="3" t="s">
        <v>150</v>
      </c>
      <c r="H32" s="2" t="s">
        <v>16</v>
      </c>
      <c r="I32" s="3"/>
      <c r="J32" s="5" t="s">
        <v>151</v>
      </c>
    </row>
    <row r="33" customFormat="false" ht="15" hidden="false" customHeight="false" outlineLevel="0" collapsed="false">
      <c r="A33" s="2" t="n">
        <v>106</v>
      </c>
      <c r="B33" s="2" t="s">
        <v>140</v>
      </c>
      <c r="C33" s="2" t="s">
        <v>152</v>
      </c>
      <c r="D33" s="3" t="s">
        <v>153</v>
      </c>
      <c r="E33" s="7" t="s">
        <v>31</v>
      </c>
      <c r="F33" s="3"/>
      <c r="G33" s="3"/>
      <c r="H33" s="2" t="s">
        <v>32</v>
      </c>
      <c r="I33" s="3"/>
      <c r="J33" s="5" t="s">
        <v>154</v>
      </c>
    </row>
    <row r="34" customFormat="false" ht="23.85" hidden="false" customHeight="false" outlineLevel="0" collapsed="false">
      <c r="A34" s="2" t="n">
        <v>113</v>
      </c>
      <c r="B34" s="2" t="s">
        <v>155</v>
      </c>
      <c r="C34" s="2" t="s">
        <v>156</v>
      </c>
      <c r="D34" s="3" t="s">
        <v>157</v>
      </c>
      <c r="E34" s="4" t="s">
        <v>13</v>
      </c>
      <c r="F34" s="3" t="s">
        <v>158</v>
      </c>
      <c r="G34" s="3" t="s">
        <v>159</v>
      </c>
      <c r="H34" s="2" t="s">
        <v>16</v>
      </c>
      <c r="I34" s="3"/>
      <c r="J34" s="5" t="s">
        <v>160</v>
      </c>
    </row>
    <row r="35" customFormat="false" ht="15" hidden="false" customHeight="false" outlineLevel="0" collapsed="false">
      <c r="A35" s="2" t="n">
        <v>114</v>
      </c>
      <c r="B35" s="2" t="s">
        <v>155</v>
      </c>
      <c r="C35" s="2" t="s">
        <v>161</v>
      </c>
      <c r="D35" s="3" t="s">
        <v>162</v>
      </c>
      <c r="E35" s="7" t="s">
        <v>31</v>
      </c>
      <c r="F35" s="3"/>
      <c r="G35" s="3"/>
      <c r="H35" s="2" t="s">
        <v>32</v>
      </c>
      <c r="I35" s="3"/>
      <c r="J35" s="5" t="s">
        <v>163</v>
      </c>
    </row>
    <row r="36" customFormat="false" ht="23.85" hidden="false" customHeight="false" outlineLevel="0" collapsed="false">
      <c r="A36" s="2" t="n">
        <v>115</v>
      </c>
      <c r="B36" s="2" t="s">
        <v>155</v>
      </c>
      <c r="C36" s="2" t="s">
        <v>164</v>
      </c>
      <c r="D36" s="3" t="s">
        <v>165</v>
      </c>
      <c r="E36" s="4" t="s">
        <v>13</v>
      </c>
      <c r="F36" s="3" t="s">
        <v>166</v>
      </c>
      <c r="G36" s="3" t="s">
        <v>167</v>
      </c>
      <c r="H36" s="2" t="s">
        <v>16</v>
      </c>
      <c r="I36" s="6" t="s">
        <v>168</v>
      </c>
      <c r="J36" s="5" t="s">
        <v>169</v>
      </c>
    </row>
    <row r="37" customFormat="false" ht="23.85" hidden="false" customHeight="false" outlineLevel="0" collapsed="false">
      <c r="A37" s="2" t="n">
        <v>134</v>
      </c>
      <c r="B37" s="2" t="s">
        <v>170</v>
      </c>
      <c r="C37" s="2" t="s">
        <v>171</v>
      </c>
      <c r="D37" s="3" t="s">
        <v>172</v>
      </c>
      <c r="E37" s="7" t="s">
        <v>31</v>
      </c>
      <c r="F37" s="3"/>
      <c r="G37" s="3"/>
      <c r="H37" s="2" t="s">
        <v>32</v>
      </c>
      <c r="I37" s="3"/>
      <c r="J37" s="5" t="s">
        <v>173</v>
      </c>
    </row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</sheetData>
  <autoFilter ref="A1:J37"/>
  <dataValidations count="2">
    <dataValidation allowBlank="true" errorStyle="stop" operator="between" showDropDown="false" showErrorMessage="false" showInputMessage="false" sqref="E2:E121" type="list">
      <formula1>"Так,Частково,Ні,N/A"</formula1>
      <formula2>0</formula2>
    </dataValidation>
    <dataValidation allowBlank="true" errorStyle="stop" operator="between" showDropDown="false" showErrorMessage="false" showInputMessage="false" sqref="H2:H121" type="list">
      <formula1>"Не починали,В розробці,Створено,Видалено,Не актуально"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46"/>
    <col collapsed="false" customWidth="true" hidden="false" outlineLevel="0" max="5" min="5" style="0" width="13"/>
    <col collapsed="false" customWidth="true" hidden="false" outlineLevel="0" max="6" min="6" style="0" width="50"/>
    <col collapsed="false" customWidth="true" hidden="false" outlineLevel="0" max="7" min="7" style="0" width="46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0" min="10" style="0" width="6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n">
        <v>9</v>
      </c>
      <c r="B2" s="2" t="s">
        <v>10</v>
      </c>
      <c r="C2" s="2" t="s">
        <v>174</v>
      </c>
      <c r="D2" s="3" t="s">
        <v>175</v>
      </c>
      <c r="E2" s="8" t="s">
        <v>176</v>
      </c>
      <c r="F2" s="3"/>
      <c r="G2" s="3" t="s">
        <v>177</v>
      </c>
      <c r="H2" s="2" t="s">
        <v>178</v>
      </c>
      <c r="I2" s="6" t="s">
        <v>179</v>
      </c>
      <c r="J2" s="5" t="s">
        <v>180</v>
      </c>
    </row>
    <row r="3" customFormat="false" ht="15" hidden="false" customHeight="false" outlineLevel="0" collapsed="false">
      <c r="A3" s="2" t="n">
        <v>10</v>
      </c>
      <c r="B3" s="2" t="s">
        <v>10</v>
      </c>
      <c r="C3" s="2" t="s">
        <v>181</v>
      </c>
      <c r="D3" s="3" t="s">
        <v>182</v>
      </c>
      <c r="E3" s="8" t="s">
        <v>176</v>
      </c>
      <c r="F3" s="3"/>
      <c r="G3" s="3" t="s">
        <v>183</v>
      </c>
      <c r="H3" s="2" t="s">
        <v>178</v>
      </c>
      <c r="I3" s="3"/>
      <c r="J3" s="5" t="s">
        <v>184</v>
      </c>
    </row>
    <row r="4" customFormat="false" ht="23.85" hidden="false" customHeight="false" outlineLevel="0" collapsed="false">
      <c r="A4" s="2" t="n">
        <v>16</v>
      </c>
      <c r="B4" s="2" t="s">
        <v>35</v>
      </c>
      <c r="C4" s="2" t="s">
        <v>185</v>
      </c>
      <c r="D4" s="3" t="s">
        <v>186</v>
      </c>
      <c r="E4" s="8" t="s">
        <v>176</v>
      </c>
      <c r="F4" s="3"/>
      <c r="G4" s="3" t="s">
        <v>187</v>
      </c>
      <c r="H4" s="2" t="s">
        <v>178</v>
      </c>
      <c r="I4" s="6" t="s">
        <v>188</v>
      </c>
      <c r="J4" s="5" t="s">
        <v>189</v>
      </c>
    </row>
    <row r="5" customFormat="false" ht="23.85" hidden="false" customHeight="false" outlineLevel="0" collapsed="false">
      <c r="A5" s="2" t="n">
        <v>17</v>
      </c>
      <c r="B5" s="2" t="s">
        <v>35</v>
      </c>
      <c r="C5" s="2" t="s">
        <v>190</v>
      </c>
      <c r="D5" s="3" t="s">
        <v>191</v>
      </c>
      <c r="E5" s="8" t="s">
        <v>176</v>
      </c>
      <c r="F5" s="3"/>
      <c r="G5" s="3" t="s">
        <v>192</v>
      </c>
      <c r="H5" s="2" t="s">
        <v>178</v>
      </c>
      <c r="I5" s="6" t="s">
        <v>193</v>
      </c>
      <c r="J5" s="5" t="s">
        <v>194</v>
      </c>
    </row>
    <row r="6" customFormat="false" ht="23.85" hidden="false" customHeight="false" outlineLevel="0" collapsed="false">
      <c r="A6" s="2" t="n">
        <v>19</v>
      </c>
      <c r="B6" s="2" t="s">
        <v>35</v>
      </c>
      <c r="C6" s="2" t="s">
        <v>195</v>
      </c>
      <c r="D6" s="3" t="s">
        <v>196</v>
      </c>
      <c r="E6" s="8" t="s">
        <v>176</v>
      </c>
      <c r="F6" s="3"/>
      <c r="G6" s="3" t="s">
        <v>197</v>
      </c>
      <c r="H6" s="2" t="s">
        <v>178</v>
      </c>
      <c r="I6" s="3"/>
      <c r="J6" s="5" t="s">
        <v>198</v>
      </c>
    </row>
    <row r="7" customFormat="false" ht="23.85" hidden="false" customHeight="false" outlineLevel="0" collapsed="false">
      <c r="A7" s="2" t="n">
        <v>20</v>
      </c>
      <c r="B7" s="2" t="s">
        <v>35</v>
      </c>
      <c r="C7" s="2" t="s">
        <v>199</v>
      </c>
      <c r="D7" s="3" t="s">
        <v>200</v>
      </c>
      <c r="E7" s="8" t="s">
        <v>176</v>
      </c>
      <c r="F7" s="3"/>
      <c r="G7" s="3" t="s">
        <v>201</v>
      </c>
      <c r="H7" s="2" t="s">
        <v>178</v>
      </c>
      <c r="I7" s="3"/>
      <c r="J7" s="5" t="s">
        <v>202</v>
      </c>
    </row>
    <row r="8" customFormat="false" ht="23.85" hidden="false" customHeight="false" outlineLevel="0" collapsed="false">
      <c r="A8" s="2" t="n">
        <v>29</v>
      </c>
      <c r="B8" s="2" t="s">
        <v>39</v>
      </c>
      <c r="C8" s="2" t="s">
        <v>203</v>
      </c>
      <c r="D8" s="3" t="s">
        <v>204</v>
      </c>
      <c r="E8" s="8" t="s">
        <v>176</v>
      </c>
      <c r="F8" s="3"/>
      <c r="G8" s="3" t="s">
        <v>205</v>
      </c>
      <c r="H8" s="2" t="s">
        <v>178</v>
      </c>
      <c r="I8" s="3"/>
      <c r="J8" s="5" t="s">
        <v>206</v>
      </c>
    </row>
    <row r="9" customFormat="false" ht="23.85" hidden="false" customHeight="false" outlineLevel="0" collapsed="false">
      <c r="A9" s="2" t="n">
        <v>32</v>
      </c>
      <c r="B9" s="2" t="s">
        <v>55</v>
      </c>
      <c r="C9" s="2" t="s">
        <v>207</v>
      </c>
      <c r="D9" s="3" t="s">
        <v>208</v>
      </c>
      <c r="E9" s="8" t="s">
        <v>176</v>
      </c>
      <c r="F9" s="3"/>
      <c r="G9" s="3" t="s">
        <v>209</v>
      </c>
      <c r="H9" s="2" t="s">
        <v>178</v>
      </c>
      <c r="I9" s="6" t="s">
        <v>210</v>
      </c>
      <c r="J9" s="5" t="s">
        <v>211</v>
      </c>
    </row>
    <row r="10" customFormat="false" ht="15" hidden="false" customHeight="false" outlineLevel="0" collapsed="false">
      <c r="A10" s="2" t="n">
        <v>42</v>
      </c>
      <c r="B10" s="2" t="s">
        <v>61</v>
      </c>
      <c r="C10" s="2" t="s">
        <v>212</v>
      </c>
      <c r="D10" s="3" t="s">
        <v>213</v>
      </c>
      <c r="E10" s="8" t="s">
        <v>176</v>
      </c>
      <c r="F10" s="3"/>
      <c r="G10" s="3" t="s">
        <v>214</v>
      </c>
      <c r="H10" s="2" t="s">
        <v>178</v>
      </c>
      <c r="I10" s="3"/>
      <c r="J10" s="5" t="s">
        <v>215</v>
      </c>
    </row>
    <row r="11" customFormat="false" ht="35.05" hidden="false" customHeight="false" outlineLevel="0" collapsed="false">
      <c r="A11" s="2" t="n">
        <v>46</v>
      </c>
      <c r="B11" s="2" t="s">
        <v>73</v>
      </c>
      <c r="C11" s="2" t="s">
        <v>216</v>
      </c>
      <c r="D11" s="3" t="s">
        <v>217</v>
      </c>
      <c r="E11" s="8" t="s">
        <v>176</v>
      </c>
      <c r="F11" s="3"/>
      <c r="G11" s="3" t="s">
        <v>218</v>
      </c>
      <c r="H11" s="2" t="s">
        <v>178</v>
      </c>
      <c r="I11" s="6" t="s">
        <v>219</v>
      </c>
      <c r="J11" s="5" t="s">
        <v>220</v>
      </c>
    </row>
    <row r="12" customFormat="false" ht="15" hidden="false" customHeight="false" outlineLevel="0" collapsed="false">
      <c r="A12" s="2" t="n">
        <v>51</v>
      </c>
      <c r="B12" s="2" t="s">
        <v>73</v>
      </c>
      <c r="C12" s="2" t="s">
        <v>221</v>
      </c>
      <c r="D12" s="3" t="s">
        <v>222</v>
      </c>
      <c r="E12" s="8" t="s">
        <v>176</v>
      </c>
      <c r="F12" s="3"/>
      <c r="G12" s="3" t="s">
        <v>223</v>
      </c>
      <c r="H12" s="2" t="s">
        <v>178</v>
      </c>
      <c r="I12" s="3"/>
      <c r="J12" s="5" t="s">
        <v>224</v>
      </c>
    </row>
    <row r="13" customFormat="false" ht="23.85" hidden="false" customHeight="false" outlineLevel="0" collapsed="false">
      <c r="A13" s="2" t="n">
        <v>52</v>
      </c>
      <c r="B13" s="2" t="s">
        <v>73</v>
      </c>
      <c r="C13" s="2" t="s">
        <v>225</v>
      </c>
      <c r="D13" s="3" t="s">
        <v>226</v>
      </c>
      <c r="E13" s="8" t="s">
        <v>176</v>
      </c>
      <c r="F13" s="3"/>
      <c r="G13" s="3" t="s">
        <v>227</v>
      </c>
      <c r="H13" s="2" t="s">
        <v>178</v>
      </c>
      <c r="I13" s="3"/>
      <c r="J13" s="5" t="s">
        <v>228</v>
      </c>
    </row>
    <row r="14" customFormat="false" ht="23.85" hidden="false" customHeight="false" outlineLevel="0" collapsed="false">
      <c r="A14" s="2" t="n">
        <v>53</v>
      </c>
      <c r="B14" s="2" t="s">
        <v>73</v>
      </c>
      <c r="C14" s="2" t="s">
        <v>229</v>
      </c>
      <c r="D14" s="3" t="s">
        <v>230</v>
      </c>
      <c r="E14" s="8" t="s">
        <v>176</v>
      </c>
      <c r="F14" s="3"/>
      <c r="G14" s="3" t="s">
        <v>231</v>
      </c>
      <c r="H14" s="2" t="s">
        <v>178</v>
      </c>
      <c r="I14" s="3"/>
      <c r="J14" s="5" t="s">
        <v>232</v>
      </c>
    </row>
    <row r="15" customFormat="false" ht="15" hidden="false" customHeight="false" outlineLevel="0" collapsed="false">
      <c r="A15" s="2" t="n">
        <v>73</v>
      </c>
      <c r="B15" s="2" t="s">
        <v>97</v>
      </c>
      <c r="C15" s="2" t="s">
        <v>233</v>
      </c>
      <c r="D15" s="3" t="s">
        <v>234</v>
      </c>
      <c r="E15" s="8" t="s">
        <v>176</v>
      </c>
      <c r="F15" s="3"/>
      <c r="G15" s="3" t="s">
        <v>235</v>
      </c>
      <c r="H15" s="2" t="s">
        <v>178</v>
      </c>
      <c r="I15" s="3"/>
      <c r="J15" s="5" t="s">
        <v>236</v>
      </c>
    </row>
    <row r="16" customFormat="false" ht="15" hidden="false" customHeight="false" outlineLevel="0" collapsed="false">
      <c r="A16" s="2" t="n">
        <v>79</v>
      </c>
      <c r="B16" s="2" t="s">
        <v>97</v>
      </c>
      <c r="C16" s="2" t="s">
        <v>237</v>
      </c>
      <c r="D16" s="3" t="s">
        <v>238</v>
      </c>
      <c r="E16" s="8" t="s">
        <v>176</v>
      </c>
      <c r="F16" s="3"/>
      <c r="G16" s="3" t="s">
        <v>239</v>
      </c>
      <c r="H16" s="2" t="s">
        <v>178</v>
      </c>
      <c r="I16" s="3"/>
      <c r="J16" s="5" t="s">
        <v>240</v>
      </c>
    </row>
    <row r="17" customFormat="false" ht="15" hidden="false" customHeight="false" outlineLevel="0" collapsed="false">
      <c r="A17" s="2" t="n">
        <v>100</v>
      </c>
      <c r="B17" s="2" t="s">
        <v>140</v>
      </c>
      <c r="C17" s="2" t="s">
        <v>241</v>
      </c>
      <c r="D17" s="3" t="s">
        <v>242</v>
      </c>
      <c r="E17" s="8" t="s">
        <v>176</v>
      </c>
      <c r="F17" s="3"/>
      <c r="G17" s="3" t="s">
        <v>243</v>
      </c>
      <c r="H17" s="2" t="s">
        <v>178</v>
      </c>
      <c r="I17" s="6" t="s">
        <v>244</v>
      </c>
      <c r="J17" s="5" t="s">
        <v>245</v>
      </c>
    </row>
    <row r="18" customFormat="false" ht="15" hidden="false" customHeight="false" outlineLevel="0" collapsed="false">
      <c r="A18" s="2" t="n">
        <v>133</v>
      </c>
      <c r="B18" s="2" t="s">
        <v>170</v>
      </c>
      <c r="C18" s="2" t="s">
        <v>246</v>
      </c>
      <c r="D18" s="3" t="s">
        <v>247</v>
      </c>
      <c r="E18" s="8" t="s">
        <v>176</v>
      </c>
      <c r="F18" s="3"/>
      <c r="G18" s="3" t="s">
        <v>248</v>
      </c>
      <c r="H18" s="2" t="s">
        <v>178</v>
      </c>
      <c r="I18" s="3"/>
      <c r="J18" s="5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26" min="3" style="0" width="8.71"/>
  </cols>
  <sheetData>
    <row r="1" customFormat="false" ht="17.35" hidden="false" customHeight="false" outlineLevel="0" collapsed="false">
      <c r="A1" s="9" t="s">
        <v>250</v>
      </c>
    </row>
    <row r="2" customFormat="false" ht="15" hidden="false" customHeight="false" outlineLevel="0" collapsed="false">
      <c r="A2" s="10" t="s">
        <v>251</v>
      </c>
    </row>
    <row r="4" customFormat="false" ht="15" hidden="false" customHeight="false" outlineLevel="0" collapsed="false">
      <c r="A4" s="11" t="s">
        <v>4</v>
      </c>
      <c r="B4" s="11" t="s">
        <v>252</v>
      </c>
    </row>
    <row r="5" customFormat="false" ht="15" hidden="false" customHeight="false" outlineLevel="0" collapsed="false">
      <c r="A5" s="12" t="s">
        <v>253</v>
      </c>
      <c r="B5" s="13" t="n">
        <f aca="false">COUNTA('Вже створено'!C2:C200)</f>
        <v>17</v>
      </c>
    </row>
    <row r="6" customFormat="false" ht="15" hidden="false" customHeight="false" outlineLevel="0" collapsed="false">
      <c r="A6" s="12" t="s">
        <v>254</v>
      </c>
      <c r="B6" s="13" t="n">
        <f aca="false">COUNTIF(Tracker!E2:E121,"Частково")</f>
        <v>14</v>
      </c>
    </row>
    <row r="7" customFormat="false" ht="15" hidden="false" customHeight="false" outlineLevel="0" collapsed="false">
      <c r="A7" s="12" t="s">
        <v>255</v>
      </c>
      <c r="B7" s="13" t="n">
        <f aca="false">COUNTIF(Tracker!E2:E121,"Ні")</f>
        <v>22</v>
      </c>
    </row>
    <row r="8" customFormat="false" ht="15" hidden="false" customHeight="false" outlineLevel="0" collapsed="false">
      <c r="A8" s="12" t="s">
        <v>256</v>
      </c>
      <c r="B8" s="13" t="n">
        <f aca="false">COUNTIF(Tracker!E2:E121,"N/A")</f>
        <v>0</v>
      </c>
    </row>
    <row r="9" customFormat="false" ht="15" hidden="false" customHeight="false" outlineLevel="0" collapsed="false">
      <c r="A9" s="12" t="s">
        <v>257</v>
      </c>
      <c r="B9" s="13" t="n">
        <f aca="false">COUNTA(Tracker!C2:C121)+B5</f>
        <v>53</v>
      </c>
    </row>
    <row r="10" customFormat="false" ht="15" hidden="false" customHeight="false" outlineLevel="0" collapsed="false">
      <c r="A10" s="12" t="s">
        <v>258</v>
      </c>
      <c r="B10" s="13" t="n">
        <f aca="false">B9-COUNTIF(Tracker!E2:E121,"N/A")</f>
        <v>53</v>
      </c>
    </row>
    <row r="11" customFormat="false" ht="15" hidden="false" customHeight="false" outlineLevel="0" collapsed="false">
      <c r="A11" s="14" t="s">
        <v>259</v>
      </c>
      <c r="B11" s="15" t="n">
        <f aca="false">COUNTIF(Tracker!E2:E121,"Ні")+COUNTIF(Tracker!E2:E121,"Частково")</f>
        <v>36</v>
      </c>
    </row>
    <row r="12" customFormat="false" ht="15" hidden="false" customHeight="false" outlineLevel="0" collapsed="false">
      <c r="A12" s="12" t="s">
        <v>260</v>
      </c>
      <c r="B12" s="13" t="n">
        <f aca="false">COUNTIF(Tracker!E2:E121,"Ні")</f>
        <v>22</v>
      </c>
    </row>
    <row r="13" customFormat="false" ht="15" hidden="false" customHeight="false" outlineLevel="0" collapsed="false">
      <c r="A13" s="12" t="s">
        <v>261</v>
      </c>
      <c r="B13" s="13" t="n">
        <f aca="false">COUNTIF(Tracker!E2:E121,"Частково")</f>
        <v>14</v>
      </c>
    </row>
    <row r="15" customFormat="false" ht="15" hidden="false" customHeight="false" outlineLevel="0" collapsed="false">
      <c r="A15" s="11" t="s">
        <v>7</v>
      </c>
      <c r="B15" s="11" t="s">
        <v>252</v>
      </c>
    </row>
    <row r="16" customFormat="false" ht="15" hidden="false" customHeight="false" outlineLevel="0" collapsed="false">
      <c r="A16" s="12" t="s">
        <v>32</v>
      </c>
      <c r="B16" s="13" t="n">
        <f aca="false">COUNTIF(Tracker!H2:H121,"Не починали")</f>
        <v>22</v>
      </c>
    </row>
    <row r="17" customFormat="false" ht="15" hidden="false" customHeight="false" outlineLevel="0" collapsed="false">
      <c r="A17" s="12" t="s">
        <v>16</v>
      </c>
      <c r="B17" s="13" t="n">
        <f aca="false">COUNTIF(Tracker!H2:H121,"В розробці")</f>
        <v>14</v>
      </c>
    </row>
    <row r="18" customFormat="false" ht="15" hidden="false" customHeight="false" outlineLevel="0" collapsed="false">
      <c r="A18" s="12" t="s">
        <v>178</v>
      </c>
      <c r="B18" s="13" t="n">
        <f aca="false">B5</f>
        <v>17</v>
      </c>
    </row>
    <row r="19" customFormat="false" ht="15.75" hidden="false" customHeight="true" outlineLevel="0" collapsed="false"/>
    <row r="20" customFormat="false" ht="15.75" hidden="false" customHeight="true" outlineLevel="0" collapsed="false">
      <c r="A20" s="12" t="s">
        <v>262</v>
      </c>
      <c r="B20" s="12" t="n">
        <f aca="false">COUNTA('Видалено (код)'!C2:C200)</f>
        <v>67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26"/>
    <col collapsed="false" customWidth="true" hidden="false" outlineLevel="0" max="6" min="6" style="0" width="55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16" t="s">
        <v>0</v>
      </c>
      <c r="B1" s="16" t="s">
        <v>1</v>
      </c>
      <c r="C1" s="16" t="s">
        <v>2</v>
      </c>
      <c r="D1" s="16" t="s">
        <v>3</v>
      </c>
      <c r="E1" s="16" t="s">
        <v>263</v>
      </c>
      <c r="F1" s="16" t="s">
        <v>264</v>
      </c>
      <c r="G1" s="16" t="s">
        <v>265</v>
      </c>
    </row>
    <row r="2" customFormat="false" ht="23.85" hidden="false" customHeight="false" outlineLevel="0" collapsed="false">
      <c r="A2" s="5" t="n">
        <v>3</v>
      </c>
      <c r="B2" s="5" t="s">
        <v>10</v>
      </c>
      <c r="C2" s="5" t="s">
        <v>266</v>
      </c>
      <c r="D2" s="5" t="s">
        <v>267</v>
      </c>
      <c r="E2" s="5" t="s">
        <v>268</v>
      </c>
      <c r="F2" s="5" t="s">
        <v>269</v>
      </c>
      <c r="G2" s="5" t="s">
        <v>270</v>
      </c>
    </row>
    <row r="3" customFormat="false" ht="23.85" hidden="false" customHeight="false" outlineLevel="0" collapsed="false">
      <c r="A3" s="5" t="n">
        <v>4</v>
      </c>
      <c r="B3" s="5" t="s">
        <v>10</v>
      </c>
      <c r="C3" s="5" t="s">
        <v>271</v>
      </c>
      <c r="D3" s="5" t="s">
        <v>272</v>
      </c>
      <c r="E3" s="5" t="s">
        <v>273</v>
      </c>
      <c r="F3" s="5" t="s">
        <v>274</v>
      </c>
      <c r="G3" s="5" t="s">
        <v>275</v>
      </c>
    </row>
    <row r="4" customFormat="false" ht="23.85" hidden="false" customHeight="false" outlineLevel="0" collapsed="false">
      <c r="A4" s="5" t="n">
        <v>5</v>
      </c>
      <c r="B4" s="5" t="s">
        <v>10</v>
      </c>
      <c r="C4" s="5" t="s">
        <v>276</v>
      </c>
      <c r="D4" s="5" t="s">
        <v>277</v>
      </c>
      <c r="E4" s="5" t="s">
        <v>273</v>
      </c>
      <c r="F4" s="5" t="s">
        <v>278</v>
      </c>
      <c r="G4" s="5" t="s">
        <v>279</v>
      </c>
    </row>
    <row r="5" customFormat="false" ht="23.85" hidden="false" customHeight="false" outlineLevel="0" collapsed="false">
      <c r="A5" s="5" t="n">
        <v>6</v>
      </c>
      <c r="B5" s="5" t="s">
        <v>10</v>
      </c>
      <c r="C5" s="5" t="s">
        <v>280</v>
      </c>
      <c r="D5" s="5" t="s">
        <v>281</v>
      </c>
      <c r="E5" s="5" t="s">
        <v>282</v>
      </c>
      <c r="F5" s="5" t="s">
        <v>283</v>
      </c>
      <c r="G5" s="5" t="s">
        <v>284</v>
      </c>
    </row>
    <row r="6" customFormat="false" ht="23.85" hidden="false" customHeight="false" outlineLevel="0" collapsed="false">
      <c r="A6" s="5" t="n">
        <v>7</v>
      </c>
      <c r="B6" s="5" t="s">
        <v>10</v>
      </c>
      <c r="C6" s="5" t="s">
        <v>285</v>
      </c>
      <c r="D6" s="5" t="s">
        <v>286</v>
      </c>
      <c r="E6" s="5" t="s">
        <v>273</v>
      </c>
      <c r="F6" s="5" t="s">
        <v>287</v>
      </c>
      <c r="G6" s="5" t="s">
        <v>288</v>
      </c>
    </row>
    <row r="7" customFormat="false" ht="23.85" hidden="false" customHeight="false" outlineLevel="0" collapsed="false">
      <c r="A7" s="5" t="n">
        <v>8</v>
      </c>
      <c r="B7" s="5" t="s">
        <v>10</v>
      </c>
      <c r="C7" s="5" t="s">
        <v>289</v>
      </c>
      <c r="D7" s="5" t="s">
        <v>290</v>
      </c>
      <c r="E7" s="5" t="s">
        <v>282</v>
      </c>
      <c r="F7" s="5" t="s">
        <v>291</v>
      </c>
      <c r="G7" s="5" t="s">
        <v>270</v>
      </c>
    </row>
    <row r="8" customFormat="false" ht="23.85" hidden="false" customHeight="false" outlineLevel="0" collapsed="false">
      <c r="A8" s="5" t="n">
        <v>12</v>
      </c>
      <c r="B8" s="5" t="s">
        <v>10</v>
      </c>
      <c r="C8" s="5" t="s">
        <v>292</v>
      </c>
      <c r="D8" s="5" t="s">
        <v>293</v>
      </c>
      <c r="E8" s="5" t="s">
        <v>294</v>
      </c>
      <c r="F8" s="5" t="s">
        <v>295</v>
      </c>
      <c r="G8" s="5" t="s">
        <v>296</v>
      </c>
    </row>
    <row r="9" customFormat="false" ht="23.85" hidden="false" customHeight="false" outlineLevel="0" collapsed="false">
      <c r="A9" s="5" t="n">
        <v>14</v>
      </c>
      <c r="B9" s="5" t="s">
        <v>10</v>
      </c>
      <c r="C9" s="5" t="s">
        <v>297</v>
      </c>
      <c r="D9" s="5" t="s">
        <v>298</v>
      </c>
      <c r="E9" s="5" t="s">
        <v>299</v>
      </c>
      <c r="F9" s="5" t="s">
        <v>300</v>
      </c>
      <c r="G9" s="5" t="s">
        <v>296</v>
      </c>
    </row>
    <row r="10" customFormat="false" ht="23.85" hidden="false" customHeight="false" outlineLevel="0" collapsed="false">
      <c r="A10" s="5" t="n">
        <v>15</v>
      </c>
      <c r="B10" s="5" t="s">
        <v>10</v>
      </c>
      <c r="C10" s="5" t="s">
        <v>301</v>
      </c>
      <c r="D10" s="5" t="s">
        <v>302</v>
      </c>
      <c r="E10" s="5" t="s">
        <v>273</v>
      </c>
      <c r="F10" s="5" t="s">
        <v>303</v>
      </c>
      <c r="G10" s="5" t="s">
        <v>304</v>
      </c>
    </row>
    <row r="11" customFormat="false" ht="23.85" hidden="false" customHeight="false" outlineLevel="0" collapsed="false">
      <c r="A11" s="5" t="n">
        <v>18</v>
      </c>
      <c r="B11" s="5" t="s">
        <v>35</v>
      </c>
      <c r="C11" s="5" t="s">
        <v>305</v>
      </c>
      <c r="D11" s="5" t="s">
        <v>306</v>
      </c>
      <c r="E11" s="5" t="s">
        <v>294</v>
      </c>
      <c r="F11" s="5" t="s">
        <v>307</v>
      </c>
      <c r="G11" s="5" t="s">
        <v>308</v>
      </c>
    </row>
    <row r="12" customFormat="false" ht="23.85" hidden="false" customHeight="false" outlineLevel="0" collapsed="false">
      <c r="A12" s="5" t="n">
        <v>23</v>
      </c>
      <c r="B12" s="5" t="s">
        <v>39</v>
      </c>
      <c r="C12" s="5" t="s">
        <v>309</v>
      </c>
      <c r="D12" s="5" t="s">
        <v>310</v>
      </c>
      <c r="E12" s="5" t="s">
        <v>268</v>
      </c>
      <c r="F12" s="5" t="s">
        <v>311</v>
      </c>
      <c r="G12" s="5" t="s">
        <v>312</v>
      </c>
    </row>
    <row r="13" customFormat="false" ht="23.85" hidden="false" customHeight="false" outlineLevel="0" collapsed="false">
      <c r="A13" s="5" t="n">
        <v>26</v>
      </c>
      <c r="B13" s="5" t="s">
        <v>39</v>
      </c>
      <c r="C13" s="5" t="s">
        <v>313</v>
      </c>
      <c r="D13" s="5" t="s">
        <v>314</v>
      </c>
      <c r="E13" s="5" t="s">
        <v>294</v>
      </c>
      <c r="F13" s="5" t="s">
        <v>315</v>
      </c>
      <c r="G13" s="5" t="s">
        <v>316</v>
      </c>
    </row>
    <row r="14" customFormat="false" ht="23.85" hidden="false" customHeight="false" outlineLevel="0" collapsed="false">
      <c r="A14" s="5" t="n">
        <v>27</v>
      </c>
      <c r="B14" s="5" t="s">
        <v>39</v>
      </c>
      <c r="C14" s="5" t="s">
        <v>317</v>
      </c>
      <c r="D14" s="5" t="s">
        <v>318</v>
      </c>
      <c r="E14" s="5" t="s">
        <v>294</v>
      </c>
      <c r="F14" s="5" t="s">
        <v>319</v>
      </c>
      <c r="G14" s="5" t="s">
        <v>312</v>
      </c>
    </row>
    <row r="15" customFormat="false" ht="15" hidden="false" customHeight="false" outlineLevel="0" collapsed="false">
      <c r="A15" s="5" t="n">
        <v>30</v>
      </c>
      <c r="B15" s="5" t="s">
        <v>55</v>
      </c>
      <c r="C15" s="5" t="s">
        <v>320</v>
      </c>
      <c r="D15" s="5" t="s">
        <v>321</v>
      </c>
      <c r="E15" s="5" t="s">
        <v>268</v>
      </c>
      <c r="F15" s="5" t="s">
        <v>322</v>
      </c>
      <c r="G15" s="5" t="s">
        <v>323</v>
      </c>
    </row>
    <row r="16" customFormat="false" ht="15" hidden="false" customHeight="false" outlineLevel="0" collapsed="false">
      <c r="A16" s="5" t="n">
        <v>33</v>
      </c>
      <c r="B16" s="5" t="s">
        <v>55</v>
      </c>
      <c r="C16" s="5" t="s">
        <v>324</v>
      </c>
      <c r="D16" s="5" t="s">
        <v>325</v>
      </c>
      <c r="E16" s="5" t="s">
        <v>326</v>
      </c>
      <c r="F16" s="5" t="s">
        <v>327</v>
      </c>
      <c r="G16" s="5" t="s">
        <v>328</v>
      </c>
    </row>
    <row r="17" customFormat="false" ht="23.85" hidden="false" customHeight="false" outlineLevel="0" collapsed="false">
      <c r="A17" s="5" t="n">
        <v>34</v>
      </c>
      <c r="B17" s="5" t="s">
        <v>55</v>
      </c>
      <c r="C17" s="5" t="s">
        <v>329</v>
      </c>
      <c r="D17" s="5" t="s">
        <v>330</v>
      </c>
      <c r="E17" s="5" t="s">
        <v>273</v>
      </c>
      <c r="F17" s="5" t="s">
        <v>331</v>
      </c>
      <c r="G17" s="5" t="s">
        <v>332</v>
      </c>
    </row>
    <row r="18" customFormat="false" ht="23.85" hidden="false" customHeight="false" outlineLevel="0" collapsed="false">
      <c r="A18" s="5" t="n">
        <v>35</v>
      </c>
      <c r="B18" s="5" t="s">
        <v>55</v>
      </c>
      <c r="C18" s="5" t="s">
        <v>333</v>
      </c>
      <c r="D18" s="5" t="s">
        <v>334</v>
      </c>
      <c r="E18" s="5" t="s">
        <v>299</v>
      </c>
      <c r="F18" s="5" t="s">
        <v>335</v>
      </c>
      <c r="G18" s="5" t="s">
        <v>336</v>
      </c>
    </row>
    <row r="19" customFormat="false" ht="15" hidden="false" customHeight="false" outlineLevel="0" collapsed="false">
      <c r="A19" s="5" t="n">
        <v>36</v>
      </c>
      <c r="B19" s="5" t="s">
        <v>55</v>
      </c>
      <c r="C19" s="5" t="s">
        <v>337</v>
      </c>
      <c r="D19" s="5" t="s">
        <v>338</v>
      </c>
      <c r="E19" s="5" t="s">
        <v>282</v>
      </c>
      <c r="F19" s="5" t="s">
        <v>339</v>
      </c>
      <c r="G19" s="5" t="s">
        <v>336</v>
      </c>
    </row>
    <row r="20" customFormat="false" ht="15" hidden="false" customHeight="false" outlineLevel="0" collapsed="false">
      <c r="A20" s="5" t="n">
        <v>48</v>
      </c>
      <c r="B20" s="5" t="s">
        <v>73</v>
      </c>
      <c r="C20" s="5" t="s">
        <v>340</v>
      </c>
      <c r="D20" s="5" t="s">
        <v>341</v>
      </c>
      <c r="E20" s="5" t="s">
        <v>326</v>
      </c>
      <c r="F20" s="5" t="s">
        <v>342</v>
      </c>
      <c r="G20" s="5" t="s">
        <v>343</v>
      </c>
    </row>
    <row r="21" customFormat="false" ht="23.85" hidden="false" customHeight="false" outlineLevel="0" collapsed="false">
      <c r="A21" s="5" t="n">
        <v>49</v>
      </c>
      <c r="B21" s="5" t="s">
        <v>73</v>
      </c>
      <c r="C21" s="5" t="s">
        <v>344</v>
      </c>
      <c r="D21" s="5" t="s">
        <v>345</v>
      </c>
      <c r="E21" s="5" t="s">
        <v>326</v>
      </c>
      <c r="F21" s="5" t="s">
        <v>346</v>
      </c>
      <c r="G21" s="5" t="s">
        <v>343</v>
      </c>
    </row>
    <row r="22" customFormat="false" ht="23.85" hidden="false" customHeight="false" outlineLevel="0" collapsed="false">
      <c r="A22" s="5" t="n">
        <v>50</v>
      </c>
      <c r="B22" s="5" t="s">
        <v>73</v>
      </c>
      <c r="C22" s="5" t="s">
        <v>347</v>
      </c>
      <c r="D22" s="5" t="s">
        <v>348</v>
      </c>
      <c r="E22" s="5" t="s">
        <v>326</v>
      </c>
      <c r="F22" s="5" t="s">
        <v>349</v>
      </c>
      <c r="G22" s="5" t="s">
        <v>343</v>
      </c>
    </row>
    <row r="23" customFormat="false" ht="15" hidden="false" customHeight="false" outlineLevel="0" collapsed="false">
      <c r="A23" s="5" t="n">
        <v>54</v>
      </c>
      <c r="B23" s="5" t="s">
        <v>73</v>
      </c>
      <c r="C23" s="5" t="s">
        <v>350</v>
      </c>
      <c r="D23" s="5" t="s">
        <v>351</v>
      </c>
      <c r="E23" s="5" t="s">
        <v>268</v>
      </c>
      <c r="F23" s="5" t="s">
        <v>352</v>
      </c>
      <c r="G23" s="5" t="s">
        <v>353</v>
      </c>
    </row>
    <row r="24" customFormat="false" ht="23.85" hidden="false" customHeight="false" outlineLevel="0" collapsed="false">
      <c r="A24" s="5" t="n">
        <v>55</v>
      </c>
      <c r="B24" s="5" t="s">
        <v>73</v>
      </c>
      <c r="C24" s="5" t="s">
        <v>354</v>
      </c>
      <c r="D24" s="5" t="s">
        <v>355</v>
      </c>
      <c r="E24" s="5" t="s">
        <v>356</v>
      </c>
      <c r="F24" s="5" t="s">
        <v>357</v>
      </c>
      <c r="G24" s="5" t="s">
        <v>358</v>
      </c>
    </row>
    <row r="25" customFormat="false" ht="23.85" hidden="false" customHeight="false" outlineLevel="0" collapsed="false">
      <c r="A25" s="5" t="n">
        <v>57</v>
      </c>
      <c r="B25" s="5" t="s">
        <v>73</v>
      </c>
      <c r="C25" s="5" t="s">
        <v>359</v>
      </c>
      <c r="D25" s="5" t="s">
        <v>360</v>
      </c>
      <c r="E25" s="5" t="s">
        <v>299</v>
      </c>
      <c r="F25" s="5" t="s">
        <v>361</v>
      </c>
      <c r="G25" s="5" t="s">
        <v>362</v>
      </c>
    </row>
    <row r="26" customFormat="false" ht="23.85" hidden="false" customHeight="false" outlineLevel="0" collapsed="false">
      <c r="A26" s="5" t="n">
        <v>59</v>
      </c>
      <c r="B26" s="5" t="s">
        <v>73</v>
      </c>
      <c r="C26" s="5" t="s">
        <v>363</v>
      </c>
      <c r="D26" s="5" t="s">
        <v>364</v>
      </c>
      <c r="E26" s="5" t="s">
        <v>365</v>
      </c>
      <c r="F26" s="5" t="s">
        <v>366</v>
      </c>
      <c r="G26" s="5" t="s">
        <v>367</v>
      </c>
    </row>
    <row r="27" customFormat="false" ht="15" hidden="false" customHeight="false" outlineLevel="0" collapsed="false">
      <c r="A27" s="5" t="n">
        <v>61</v>
      </c>
      <c r="B27" s="5" t="s">
        <v>87</v>
      </c>
      <c r="C27" s="5" t="s">
        <v>368</v>
      </c>
      <c r="D27" s="5" t="s">
        <v>369</v>
      </c>
      <c r="E27" s="5" t="s">
        <v>282</v>
      </c>
      <c r="F27" s="5" t="s">
        <v>370</v>
      </c>
      <c r="G27" s="5" t="s">
        <v>371</v>
      </c>
    </row>
    <row r="28" customFormat="false" ht="15" hidden="false" customHeight="false" outlineLevel="0" collapsed="false">
      <c r="A28" s="5" t="n">
        <v>63</v>
      </c>
      <c r="B28" s="5" t="s">
        <v>87</v>
      </c>
      <c r="C28" s="5" t="s">
        <v>372</v>
      </c>
      <c r="D28" s="5" t="s">
        <v>373</v>
      </c>
      <c r="E28" s="5" t="s">
        <v>294</v>
      </c>
      <c r="F28" s="5" t="s">
        <v>374</v>
      </c>
      <c r="G28" s="5" t="s">
        <v>375</v>
      </c>
    </row>
    <row r="29" customFormat="false" ht="15" hidden="false" customHeight="false" outlineLevel="0" collapsed="false">
      <c r="A29" s="5" t="n">
        <v>64</v>
      </c>
      <c r="B29" s="5" t="s">
        <v>87</v>
      </c>
      <c r="C29" s="5" t="s">
        <v>376</v>
      </c>
      <c r="D29" s="5" t="s">
        <v>377</v>
      </c>
      <c r="E29" s="5" t="s">
        <v>294</v>
      </c>
      <c r="F29" s="5" t="s">
        <v>378</v>
      </c>
      <c r="G29" s="5" t="s">
        <v>375</v>
      </c>
    </row>
    <row r="30" customFormat="false" ht="15" hidden="false" customHeight="false" outlineLevel="0" collapsed="false">
      <c r="A30" s="5" t="n">
        <v>65</v>
      </c>
      <c r="B30" s="5" t="s">
        <v>87</v>
      </c>
      <c r="C30" s="5" t="s">
        <v>379</v>
      </c>
      <c r="D30" s="5" t="s">
        <v>380</v>
      </c>
      <c r="E30" s="5" t="s">
        <v>299</v>
      </c>
      <c r="F30" s="5" t="s">
        <v>381</v>
      </c>
      <c r="G30" s="5" t="s">
        <v>382</v>
      </c>
    </row>
    <row r="31" customFormat="false" ht="23.85" hidden="false" customHeight="false" outlineLevel="0" collapsed="false">
      <c r="A31" s="5" t="n">
        <v>66</v>
      </c>
      <c r="B31" s="5" t="s">
        <v>87</v>
      </c>
      <c r="C31" s="5" t="s">
        <v>383</v>
      </c>
      <c r="D31" s="5" t="s">
        <v>384</v>
      </c>
      <c r="E31" s="5" t="s">
        <v>282</v>
      </c>
      <c r="F31" s="5" t="s">
        <v>385</v>
      </c>
      <c r="G31" s="5" t="s">
        <v>386</v>
      </c>
    </row>
    <row r="32" customFormat="false" ht="15" hidden="false" customHeight="false" outlineLevel="0" collapsed="false">
      <c r="A32" s="5" t="n">
        <v>67</v>
      </c>
      <c r="B32" s="5" t="s">
        <v>87</v>
      </c>
      <c r="C32" s="5" t="s">
        <v>387</v>
      </c>
      <c r="D32" s="5" t="s">
        <v>388</v>
      </c>
      <c r="E32" s="5" t="s">
        <v>282</v>
      </c>
      <c r="F32" s="5" t="s">
        <v>389</v>
      </c>
      <c r="G32" s="5" t="s">
        <v>390</v>
      </c>
    </row>
    <row r="33" customFormat="false" ht="23.85" hidden="false" customHeight="false" outlineLevel="0" collapsed="false">
      <c r="A33" s="5" t="n">
        <v>68</v>
      </c>
      <c r="B33" s="5" t="s">
        <v>87</v>
      </c>
      <c r="C33" s="5" t="s">
        <v>391</v>
      </c>
      <c r="D33" s="5" t="s">
        <v>392</v>
      </c>
      <c r="E33" s="5" t="s">
        <v>282</v>
      </c>
      <c r="F33" s="5" t="s">
        <v>393</v>
      </c>
      <c r="G33" s="5" t="s">
        <v>394</v>
      </c>
    </row>
    <row r="34" customFormat="false" ht="15" hidden="false" customHeight="false" outlineLevel="0" collapsed="false">
      <c r="A34" s="5" t="n">
        <v>71</v>
      </c>
      <c r="B34" s="5" t="s">
        <v>97</v>
      </c>
      <c r="C34" s="5" t="s">
        <v>395</v>
      </c>
      <c r="D34" s="5" t="s">
        <v>396</v>
      </c>
      <c r="E34" s="5" t="s">
        <v>294</v>
      </c>
      <c r="F34" s="5" t="s">
        <v>397</v>
      </c>
      <c r="G34" s="5" t="s">
        <v>398</v>
      </c>
    </row>
    <row r="35" customFormat="false" ht="15" hidden="false" customHeight="false" outlineLevel="0" collapsed="false">
      <c r="A35" s="5" t="n">
        <v>72</v>
      </c>
      <c r="B35" s="5" t="s">
        <v>97</v>
      </c>
      <c r="C35" s="5" t="s">
        <v>399</v>
      </c>
      <c r="D35" s="5" t="s">
        <v>400</v>
      </c>
      <c r="E35" s="5" t="s">
        <v>282</v>
      </c>
      <c r="F35" s="5" t="s">
        <v>401</v>
      </c>
      <c r="G35" s="5" t="s">
        <v>336</v>
      </c>
    </row>
    <row r="36" customFormat="false" ht="23.85" hidden="false" customHeight="false" outlineLevel="0" collapsed="false">
      <c r="A36" s="5" t="n">
        <v>75</v>
      </c>
      <c r="B36" s="5" t="s">
        <v>97</v>
      </c>
      <c r="C36" s="5" t="s">
        <v>402</v>
      </c>
      <c r="D36" s="5" t="s">
        <v>403</v>
      </c>
      <c r="E36" s="5" t="s">
        <v>282</v>
      </c>
      <c r="F36" s="5" t="s">
        <v>404</v>
      </c>
      <c r="G36" s="5" t="s">
        <v>362</v>
      </c>
    </row>
    <row r="37" customFormat="false" ht="15" hidden="false" customHeight="false" outlineLevel="0" collapsed="false">
      <c r="A37" s="5" t="n">
        <v>76</v>
      </c>
      <c r="B37" s="5" t="s">
        <v>97</v>
      </c>
      <c r="C37" s="5" t="s">
        <v>405</v>
      </c>
      <c r="D37" s="5" t="s">
        <v>406</v>
      </c>
      <c r="E37" s="5" t="s">
        <v>299</v>
      </c>
      <c r="F37" s="5" t="s">
        <v>407</v>
      </c>
      <c r="G37" s="5" t="s">
        <v>408</v>
      </c>
    </row>
    <row r="38" customFormat="false" ht="15" hidden="false" customHeight="false" outlineLevel="0" collapsed="false">
      <c r="A38" s="5" t="n">
        <v>78</v>
      </c>
      <c r="B38" s="5" t="s">
        <v>97</v>
      </c>
      <c r="C38" s="5" t="s">
        <v>409</v>
      </c>
      <c r="D38" s="5" t="s">
        <v>410</v>
      </c>
      <c r="E38" s="5" t="s">
        <v>294</v>
      </c>
      <c r="F38" s="5" t="s">
        <v>411</v>
      </c>
      <c r="G38" s="5" t="s">
        <v>412</v>
      </c>
    </row>
    <row r="39" customFormat="false" ht="15" hidden="false" customHeight="false" outlineLevel="0" collapsed="false">
      <c r="A39" s="5" t="n">
        <v>81</v>
      </c>
      <c r="B39" s="5" t="s">
        <v>97</v>
      </c>
      <c r="C39" s="5" t="s">
        <v>413</v>
      </c>
      <c r="D39" s="5" t="s">
        <v>414</v>
      </c>
      <c r="E39" s="5" t="s">
        <v>268</v>
      </c>
      <c r="F39" s="5" t="s">
        <v>415</v>
      </c>
      <c r="G39" s="5" t="s">
        <v>416</v>
      </c>
    </row>
    <row r="40" customFormat="false" ht="23.85" hidden="false" customHeight="false" outlineLevel="0" collapsed="false">
      <c r="A40" s="5" t="n">
        <v>82</v>
      </c>
      <c r="B40" s="5" t="s">
        <v>119</v>
      </c>
      <c r="C40" s="5" t="s">
        <v>417</v>
      </c>
      <c r="D40" s="5" t="s">
        <v>418</v>
      </c>
      <c r="E40" s="5" t="s">
        <v>365</v>
      </c>
      <c r="F40" s="5" t="s">
        <v>419</v>
      </c>
      <c r="G40" s="5" t="s">
        <v>420</v>
      </c>
    </row>
    <row r="41" customFormat="false" ht="23.85" hidden="false" customHeight="false" outlineLevel="0" collapsed="false">
      <c r="A41" s="5" t="n">
        <v>83</v>
      </c>
      <c r="B41" s="5" t="s">
        <v>119</v>
      </c>
      <c r="C41" s="5" t="s">
        <v>421</v>
      </c>
      <c r="D41" s="5" t="s">
        <v>422</v>
      </c>
      <c r="E41" s="5" t="s">
        <v>365</v>
      </c>
      <c r="F41" s="5" t="s">
        <v>423</v>
      </c>
      <c r="G41" s="5" t="s">
        <v>424</v>
      </c>
    </row>
    <row r="42" customFormat="false" ht="15" hidden="false" customHeight="false" outlineLevel="0" collapsed="false">
      <c r="A42" s="5" t="n">
        <v>84</v>
      </c>
      <c r="B42" s="5" t="s">
        <v>119</v>
      </c>
      <c r="C42" s="5" t="s">
        <v>425</v>
      </c>
      <c r="D42" s="5" t="s">
        <v>426</v>
      </c>
      <c r="E42" s="5" t="s">
        <v>282</v>
      </c>
      <c r="F42" s="5" t="s">
        <v>427</v>
      </c>
      <c r="G42" s="5" t="s">
        <v>371</v>
      </c>
    </row>
    <row r="43" customFormat="false" ht="15" hidden="false" customHeight="false" outlineLevel="0" collapsed="false">
      <c r="A43" s="5" t="n">
        <v>87</v>
      </c>
      <c r="B43" s="5" t="s">
        <v>123</v>
      </c>
      <c r="C43" s="5" t="s">
        <v>428</v>
      </c>
      <c r="D43" s="5" t="s">
        <v>429</v>
      </c>
      <c r="E43" s="5" t="s">
        <v>268</v>
      </c>
      <c r="F43" s="5" t="s">
        <v>430</v>
      </c>
      <c r="G43" s="5" t="s">
        <v>431</v>
      </c>
    </row>
    <row r="44" customFormat="false" ht="15" hidden="false" customHeight="false" outlineLevel="0" collapsed="false">
      <c r="A44" s="5" t="n">
        <v>88</v>
      </c>
      <c r="B44" s="5" t="s">
        <v>123</v>
      </c>
      <c r="C44" s="5" t="s">
        <v>432</v>
      </c>
      <c r="D44" s="5" t="s">
        <v>433</v>
      </c>
      <c r="E44" s="5" t="s">
        <v>268</v>
      </c>
      <c r="F44" s="5" t="s">
        <v>430</v>
      </c>
      <c r="G44" s="5" t="s">
        <v>431</v>
      </c>
    </row>
    <row r="45" customFormat="false" ht="15" hidden="false" customHeight="false" outlineLevel="0" collapsed="false">
      <c r="A45" s="5" t="n">
        <v>89</v>
      </c>
      <c r="B45" s="5" t="s">
        <v>123</v>
      </c>
      <c r="C45" s="5" t="s">
        <v>434</v>
      </c>
      <c r="D45" s="5" t="s">
        <v>435</v>
      </c>
      <c r="E45" s="5" t="s">
        <v>268</v>
      </c>
      <c r="F45" s="5" t="s">
        <v>430</v>
      </c>
      <c r="G45" s="5" t="s">
        <v>431</v>
      </c>
    </row>
    <row r="46" customFormat="false" ht="15" hidden="false" customHeight="false" outlineLevel="0" collapsed="false">
      <c r="A46" s="5" t="n">
        <v>92</v>
      </c>
      <c r="B46" s="5" t="s">
        <v>436</v>
      </c>
      <c r="C46" s="5" t="s">
        <v>437</v>
      </c>
      <c r="D46" s="5" t="s">
        <v>438</v>
      </c>
      <c r="E46" s="5" t="s">
        <v>439</v>
      </c>
      <c r="F46" s="5" t="s">
        <v>440</v>
      </c>
      <c r="G46" s="5" t="s">
        <v>336</v>
      </c>
    </row>
    <row r="47" customFormat="false" ht="15" hidden="false" customHeight="false" outlineLevel="0" collapsed="false">
      <c r="A47" s="5" t="n">
        <v>93</v>
      </c>
      <c r="B47" s="5" t="s">
        <v>436</v>
      </c>
      <c r="C47" s="5" t="s">
        <v>441</v>
      </c>
      <c r="D47" s="5" t="s">
        <v>442</v>
      </c>
      <c r="E47" s="5" t="s">
        <v>439</v>
      </c>
      <c r="F47" s="5" t="s">
        <v>443</v>
      </c>
      <c r="G47" s="5" t="s">
        <v>336</v>
      </c>
    </row>
    <row r="48" customFormat="false" ht="15" hidden="false" customHeight="false" outlineLevel="0" collapsed="false">
      <c r="A48" s="5" t="n">
        <v>94</v>
      </c>
      <c r="B48" s="5" t="s">
        <v>436</v>
      </c>
      <c r="C48" s="5" t="s">
        <v>444</v>
      </c>
      <c r="D48" s="5" t="s">
        <v>445</v>
      </c>
      <c r="E48" s="5" t="s">
        <v>439</v>
      </c>
      <c r="F48" s="5" t="s">
        <v>443</v>
      </c>
      <c r="G48" s="5" t="s">
        <v>336</v>
      </c>
    </row>
    <row r="49" customFormat="false" ht="15" hidden="false" customHeight="false" outlineLevel="0" collapsed="false">
      <c r="A49" s="5" t="n">
        <v>95</v>
      </c>
      <c r="B49" s="5" t="s">
        <v>436</v>
      </c>
      <c r="C49" s="5" t="s">
        <v>446</v>
      </c>
      <c r="D49" s="5" t="s">
        <v>447</v>
      </c>
      <c r="E49" s="5" t="s">
        <v>299</v>
      </c>
      <c r="F49" s="5" t="s">
        <v>448</v>
      </c>
      <c r="G49" s="5" t="s">
        <v>449</v>
      </c>
    </row>
    <row r="50" customFormat="false" ht="15" hidden="false" customHeight="false" outlineLevel="0" collapsed="false">
      <c r="A50" s="5" t="n">
        <v>96</v>
      </c>
      <c r="B50" s="5" t="s">
        <v>135</v>
      </c>
      <c r="C50" s="5" t="s">
        <v>450</v>
      </c>
      <c r="D50" s="5" t="s">
        <v>451</v>
      </c>
      <c r="E50" s="5" t="s">
        <v>268</v>
      </c>
      <c r="F50" s="5" t="s">
        <v>452</v>
      </c>
      <c r="G50" s="5" t="s">
        <v>453</v>
      </c>
    </row>
    <row r="51" customFormat="false" ht="23.85" hidden="false" customHeight="false" outlineLevel="0" collapsed="false">
      <c r="A51" s="5" t="n">
        <v>98</v>
      </c>
      <c r="B51" s="5" t="s">
        <v>454</v>
      </c>
      <c r="C51" s="5" t="s">
        <v>455</v>
      </c>
      <c r="D51" s="5" t="s">
        <v>456</v>
      </c>
      <c r="E51" s="5" t="s">
        <v>365</v>
      </c>
      <c r="F51" s="5" t="s">
        <v>457</v>
      </c>
      <c r="G51" s="5" t="s">
        <v>458</v>
      </c>
    </row>
    <row r="52" customFormat="false" ht="23.85" hidden="false" customHeight="false" outlineLevel="0" collapsed="false">
      <c r="A52" s="5" t="n">
        <v>101</v>
      </c>
      <c r="B52" s="5" t="s">
        <v>140</v>
      </c>
      <c r="C52" s="5" t="s">
        <v>459</v>
      </c>
      <c r="D52" s="5" t="s">
        <v>460</v>
      </c>
      <c r="E52" s="5" t="s">
        <v>268</v>
      </c>
      <c r="F52" s="5" t="s">
        <v>461</v>
      </c>
      <c r="G52" s="5" t="s">
        <v>462</v>
      </c>
    </row>
    <row r="53" customFormat="false" ht="15" hidden="false" customHeight="false" outlineLevel="0" collapsed="false">
      <c r="A53" s="5" t="n">
        <v>104</v>
      </c>
      <c r="B53" s="5" t="s">
        <v>140</v>
      </c>
      <c r="C53" s="5" t="s">
        <v>463</v>
      </c>
      <c r="D53" s="5" t="s">
        <v>464</v>
      </c>
      <c r="E53" s="5" t="s">
        <v>326</v>
      </c>
      <c r="F53" s="5" t="s">
        <v>465</v>
      </c>
      <c r="G53" s="5" t="s">
        <v>312</v>
      </c>
    </row>
    <row r="54" customFormat="false" ht="15" hidden="false" customHeight="false" outlineLevel="0" collapsed="false">
      <c r="A54" s="5" t="n">
        <v>109</v>
      </c>
      <c r="B54" s="5" t="s">
        <v>466</v>
      </c>
      <c r="C54" s="5" t="s">
        <v>467</v>
      </c>
      <c r="D54" s="5" t="s">
        <v>468</v>
      </c>
      <c r="E54" s="5" t="s">
        <v>299</v>
      </c>
      <c r="F54" s="5" t="s">
        <v>469</v>
      </c>
      <c r="G54" s="5" t="s">
        <v>470</v>
      </c>
    </row>
    <row r="55" customFormat="false" ht="15" hidden="false" customHeight="false" outlineLevel="0" collapsed="false">
      <c r="A55" s="5" t="n">
        <v>110</v>
      </c>
      <c r="B55" s="5" t="s">
        <v>466</v>
      </c>
      <c r="C55" s="5" t="s">
        <v>471</v>
      </c>
      <c r="D55" s="5" t="s">
        <v>472</v>
      </c>
      <c r="E55" s="5" t="s">
        <v>282</v>
      </c>
      <c r="F55" s="5" t="s">
        <v>473</v>
      </c>
      <c r="G55" s="5" t="s">
        <v>336</v>
      </c>
    </row>
    <row r="56" customFormat="false" ht="15" hidden="false" customHeight="false" outlineLevel="0" collapsed="false">
      <c r="A56" s="5" t="n">
        <v>111</v>
      </c>
      <c r="B56" s="5" t="s">
        <v>466</v>
      </c>
      <c r="C56" s="5" t="s">
        <v>474</v>
      </c>
      <c r="D56" s="5" t="s">
        <v>475</v>
      </c>
      <c r="E56" s="5" t="s">
        <v>356</v>
      </c>
      <c r="F56" s="5" t="s">
        <v>476</v>
      </c>
      <c r="G56" s="5" t="s">
        <v>477</v>
      </c>
    </row>
    <row r="57" customFormat="false" ht="15" hidden="false" customHeight="false" outlineLevel="0" collapsed="false">
      <c r="A57" s="5" t="n">
        <v>112</v>
      </c>
      <c r="B57" s="5" t="s">
        <v>466</v>
      </c>
      <c r="C57" s="5" t="s">
        <v>478</v>
      </c>
      <c r="D57" s="5" t="s">
        <v>479</v>
      </c>
      <c r="E57" s="5" t="s">
        <v>294</v>
      </c>
      <c r="F57" s="5" t="s">
        <v>480</v>
      </c>
      <c r="G57" s="5" t="s">
        <v>481</v>
      </c>
    </row>
    <row r="58" customFormat="false" ht="23.85" hidden="false" customHeight="false" outlineLevel="0" collapsed="false">
      <c r="A58" s="5" t="n">
        <v>116</v>
      </c>
      <c r="B58" s="5" t="s">
        <v>155</v>
      </c>
      <c r="C58" s="5" t="s">
        <v>482</v>
      </c>
      <c r="D58" s="5" t="s">
        <v>483</v>
      </c>
      <c r="E58" s="5" t="s">
        <v>273</v>
      </c>
      <c r="F58" s="5" t="s">
        <v>484</v>
      </c>
      <c r="G58" s="5" t="s">
        <v>485</v>
      </c>
    </row>
    <row r="59" customFormat="false" ht="15" hidden="false" customHeight="false" outlineLevel="0" collapsed="false">
      <c r="A59" s="5" t="n">
        <v>117</v>
      </c>
      <c r="B59" s="5" t="s">
        <v>155</v>
      </c>
      <c r="C59" s="5" t="s">
        <v>486</v>
      </c>
      <c r="D59" s="5" t="s">
        <v>487</v>
      </c>
      <c r="E59" s="5" t="s">
        <v>299</v>
      </c>
      <c r="F59" s="5" t="s">
        <v>488</v>
      </c>
      <c r="G59" s="5" t="s">
        <v>362</v>
      </c>
    </row>
    <row r="60" customFormat="false" ht="23.85" hidden="false" customHeight="false" outlineLevel="0" collapsed="false">
      <c r="A60" s="5" t="n">
        <v>118</v>
      </c>
      <c r="B60" s="5" t="s">
        <v>155</v>
      </c>
      <c r="C60" s="5" t="s">
        <v>489</v>
      </c>
      <c r="D60" s="5" t="s">
        <v>490</v>
      </c>
      <c r="E60" s="5" t="s">
        <v>273</v>
      </c>
      <c r="F60" s="5" t="s">
        <v>491</v>
      </c>
      <c r="G60" s="5" t="s">
        <v>492</v>
      </c>
    </row>
    <row r="61" customFormat="false" ht="23.85" hidden="false" customHeight="false" outlineLevel="0" collapsed="false">
      <c r="A61" s="5" t="n">
        <v>119</v>
      </c>
      <c r="B61" s="5" t="s">
        <v>155</v>
      </c>
      <c r="C61" s="5" t="s">
        <v>493</v>
      </c>
      <c r="D61" s="5" t="s">
        <v>494</v>
      </c>
      <c r="E61" s="5" t="s">
        <v>282</v>
      </c>
      <c r="F61" s="5" t="s">
        <v>495</v>
      </c>
      <c r="G61" s="5" t="s">
        <v>496</v>
      </c>
    </row>
    <row r="62" customFormat="false" ht="15" hidden="false" customHeight="false" outlineLevel="0" collapsed="false">
      <c r="A62" s="5" t="n">
        <v>120</v>
      </c>
      <c r="B62" s="5" t="s">
        <v>155</v>
      </c>
      <c r="C62" s="5" t="s">
        <v>497</v>
      </c>
      <c r="D62" s="5" t="s">
        <v>498</v>
      </c>
      <c r="E62" s="5" t="s">
        <v>294</v>
      </c>
      <c r="F62" s="5" t="s">
        <v>499</v>
      </c>
      <c r="G62" s="5" t="s">
        <v>492</v>
      </c>
    </row>
    <row r="63" customFormat="false" ht="15" hidden="false" customHeight="false" outlineLevel="0" collapsed="false">
      <c r="A63" s="5" t="n">
        <v>121</v>
      </c>
      <c r="B63" s="5" t="s">
        <v>155</v>
      </c>
      <c r="C63" s="5" t="s">
        <v>500</v>
      </c>
      <c r="D63" s="5" t="s">
        <v>501</v>
      </c>
      <c r="E63" s="5" t="s">
        <v>294</v>
      </c>
      <c r="F63" s="5" t="s">
        <v>502</v>
      </c>
      <c r="G63" s="5" t="s">
        <v>492</v>
      </c>
    </row>
    <row r="64" customFormat="false" ht="15" hidden="false" customHeight="false" outlineLevel="0" collapsed="false">
      <c r="A64" s="5" t="n">
        <v>122</v>
      </c>
      <c r="B64" s="5" t="s">
        <v>155</v>
      </c>
      <c r="C64" s="5" t="s">
        <v>503</v>
      </c>
      <c r="D64" s="5" t="s">
        <v>504</v>
      </c>
      <c r="E64" s="5" t="s">
        <v>282</v>
      </c>
      <c r="F64" s="5" t="s">
        <v>505</v>
      </c>
      <c r="G64" s="5" t="s">
        <v>506</v>
      </c>
    </row>
    <row r="65" customFormat="false" ht="15" hidden="false" customHeight="false" outlineLevel="0" collapsed="false">
      <c r="A65" s="5" t="n">
        <v>123</v>
      </c>
      <c r="B65" s="5" t="s">
        <v>155</v>
      </c>
      <c r="C65" s="5" t="s">
        <v>507</v>
      </c>
      <c r="D65" s="5" t="s">
        <v>508</v>
      </c>
      <c r="E65" s="5" t="s">
        <v>294</v>
      </c>
      <c r="F65" s="5" t="s">
        <v>509</v>
      </c>
      <c r="G65" s="5" t="s">
        <v>412</v>
      </c>
    </row>
    <row r="66" customFormat="false" ht="23.85" hidden="false" customHeight="false" outlineLevel="0" collapsed="false">
      <c r="A66" s="5" t="n">
        <v>132</v>
      </c>
      <c r="B66" s="5" t="s">
        <v>170</v>
      </c>
      <c r="C66" s="5" t="s">
        <v>510</v>
      </c>
      <c r="D66" s="5" t="s">
        <v>511</v>
      </c>
      <c r="E66" s="5" t="s">
        <v>365</v>
      </c>
      <c r="F66" s="5" t="s">
        <v>512</v>
      </c>
      <c r="G66" s="5" t="s">
        <v>420</v>
      </c>
    </row>
    <row r="67" customFormat="false" ht="23.85" hidden="false" customHeight="false" outlineLevel="0" collapsed="false">
      <c r="A67" s="5" t="n">
        <v>136</v>
      </c>
      <c r="B67" s="5" t="s">
        <v>170</v>
      </c>
      <c r="C67" s="5" t="s">
        <v>513</v>
      </c>
      <c r="D67" s="5" t="s">
        <v>514</v>
      </c>
      <c r="E67" s="5" t="s">
        <v>365</v>
      </c>
      <c r="F67" s="5" t="s">
        <v>515</v>
      </c>
      <c r="G67" s="5" t="s">
        <v>462</v>
      </c>
    </row>
    <row r="68" customFormat="false" ht="23.85" hidden="false" customHeight="false" outlineLevel="0" collapsed="false">
      <c r="A68" s="5" t="n">
        <v>143</v>
      </c>
      <c r="B68" s="5" t="s">
        <v>516</v>
      </c>
      <c r="C68" s="5" t="s">
        <v>517</v>
      </c>
      <c r="D68" s="5" t="s">
        <v>518</v>
      </c>
      <c r="E68" s="5" t="s">
        <v>299</v>
      </c>
      <c r="F68" s="5" t="s">
        <v>519</v>
      </c>
      <c r="G68" s="5" t="s">
        <v>520</v>
      </c>
    </row>
  </sheetData>
  <autoFilter ref="A1:G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2026-10-08T15:02:44Z</dcterms:created>
  <dc:creator>openpyxl</dc:creator>
  <dc:description/>
  <dc:language>en-US</dc:language>
  <cp:lastModifiedBy/>
  <dcterms:modified xsi:type="dcterms:W3CDTF">2026-10-08T15:02:45Z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